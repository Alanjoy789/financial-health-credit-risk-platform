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779db9367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Brief" sheetId="1" r:id="Rc74cd030cde44dbd"/>
    <x:sheet xmlns:r="http://schemas.openxmlformats.org/officeDocument/2006/relationships" name="Top 5% Risk Detail" sheetId="2" r:id="R89cfc11d335e4949"/>
    <x:sheet xmlns:r="http://schemas.openxmlformats.org/officeDocument/2006/relationships" name="Lookup &amp; Checks" sheetId="3" r:id="R39cfd7fcb2054c0e"/>
  </x:sheets>
</x:workbook>
</file>

<file path=xl/comments1.xml><?xml version="1.0" encoding="utf-8"?>
<x:comments xmlns:x="http://schemas.openxmlformats.org/spreadsheetml/2006/main">
  <x:authors>
    <x:author>tc={A13314DE-064F-DE34-7E24-72B27480B9B5}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Formula-driven exposure total sourced from the Top 5% Risk Detail sheet.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€#,##0"/>
    <x:numFmt numFmtId="201" formatCode="0.0%"/>
    <x:numFmt numFmtId="202" formatCode="0.0"/>
    <x:numFmt numFmtId="203" formatCode="#,##0"/>
  </x:numFmts>
  <x:fonts count="1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0000FF"/>
      <x:name val="Aptos"/>
    </x:font>
    <x:font>
      <x:b/>
      <x:sz val="16"/>
      <x:color rgb="FFFFFFFF"/>
      <x:name val="Carlito"/>
    </x:font>
    <x:font>
      <x:i/>
      <x:sz val="11"/>
      <x:color rgb="FF101828"/>
      <x:name val="Carlito"/>
    </x:font>
    <x:font>
      <x:b/>
      <x:sz val="22"/>
      <x:color rgb="FFFFFFFF"/>
      <x:name val="Carlito"/>
    </x:font>
    <x:font>
      <x:sz val="10"/>
      <x:color rgb="FF101828"/>
      <x:name val="Carlito"/>
    </x:font>
    <x:font>
      <x:b/>
      <x:sz val="19"/>
      <x:color rgb="FF155EEF"/>
      <x:name val="Carlito"/>
    </x:font>
    <x:font>
      <x:b/>
      <x:sz val="11"/>
      <x:name val="Carlito"/>
    </x:font>
    <x:font>
      <x:b/>
      <x:sz val="22"/>
      <x:color rgb="FFFFFFFF"/>
      <x:name val="Aptos"/>
    </x:font>
    <x:font>
      <x:sz val="10"/>
      <x:color rgb="FF101828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9"/>
      <x:color rgb="FF155EEF"/>
      <x:name val="Aptos"/>
    </x:font>
    <x:font>
      <x:b/>
      <x:sz val="1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344054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475467"/>
      </x:patternFill>
    </x:fill>
    <x:fill>
      <x:patternFill patternType="solid">
        <x:fgColor rgb="FFF9FAFB"/>
      </x:patternFill>
    </x:fill>
  </x:fills>
  <x:borders count="10">
    <x:border/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top style="double">
        <x:color rgb="FF0B1F3A"/>
      </x:top>
    </x:border>
    <x:border>
      <x:left style="thin">
        <x:color rgb="FFD0D5DD"/>
      </x:left>
    </x:border>
    <x:border>
      <x:right style="thin">
        <x:color rgb="FFD0D5DD"/>
      </x:right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0" fillId="6" borderId="2" xfId="0" applyNumberFormat="1" applyFont="1" applyFill="1" applyBorder="1"/>
    <x:xf numFmtId="0" fontId="10" fillId="6" borderId="3" xfId="0" applyNumberFormat="1" applyFont="1" applyFill="1" applyBorder="1"/>
    <x:xf numFmtId="0" fontId="10" fillId="6" borderId="4" xfId="0" applyNumberFormat="1" applyFont="1" applyFill="1" applyBorder="1"/>
    <x:xf numFmtId="0" fontId="10" fillId="6" borderId="5" xfId="0" applyNumberFormat="1" applyFont="1" applyFill="1" applyBorder="1"/>
    <x:xf numFmtId="0" fontId="10" fillId="6" borderId="6" xfId="0" applyNumberFormat="1" applyFont="1" applyFill="1" applyBorder="1"/>
    <x:xf numFmtId="203" fontId="10" fillId="6" borderId="1" xfId="0" applyNumberFormat="1" applyFont="1" applyFill="1" applyBorder="1"/>
    <x:xf numFmtId="203" fontId="10" fillId="6" borderId="2" xfId="0" applyNumberFormat="1" applyFont="1" applyFill="1" applyBorder="1"/>
    <x:xf numFmtId="203" fontId="10" fillId="6" borderId="3" xfId="0" applyNumberFormat="1" applyFont="1" applyFill="1" applyBorder="1"/>
    <x:xf numFmtId="203" fontId="10" fillId="6" borderId="4" xfId="0" applyNumberFormat="1" applyFont="1" applyFill="1" applyBorder="1"/>
    <x:xf numFmtId="203" fontId="10" fillId="6" borderId="5" xfId="0" applyNumberFormat="1" applyFont="1" applyFill="1" applyBorder="1"/>
    <x:xf numFmtId="203" fontId="10" fillId="6" borderId="6" xfId="0" applyNumberFormat="1" applyFont="1" applyFill="1" applyBorder="1"/>
    <x:xf numFmtId="203" fontId="10" fillId="6" borderId="1" xfId="0" applyNumberFormat="1" applyFont="1" applyFill="1" applyBorder="1" applyAlignment="1">
      <x:alignment horizontal="center"/>
    </x:xf>
    <x:xf numFmtId="203" fontId="10" fillId="6" borderId="2" xfId="0" applyNumberFormat="1" applyFont="1" applyFill="1" applyBorder="1" applyAlignment="1">
      <x:alignment horizontal="center"/>
    </x:xf>
    <x:xf numFmtId="203" fontId="10" fillId="6" borderId="3" xfId="0" applyNumberFormat="1" applyFont="1" applyFill="1" applyBorder="1" applyAlignment="1">
      <x:alignment horizontal="center"/>
    </x:xf>
    <x:xf numFmtId="203" fontId="10" fillId="6" borderId="4" xfId="0" applyNumberFormat="1" applyFont="1" applyFill="1" applyBorder="1" applyAlignment="1">
      <x:alignment horizontal="center"/>
    </x:xf>
    <x:xf numFmtId="203" fontId="10" fillId="6" borderId="5" xfId="0" applyNumberFormat="1" applyFont="1" applyFill="1" applyBorder="1" applyAlignment="1">
      <x:alignment horizontal="center"/>
    </x:xf>
    <x:xf numFmtId="203" fontId="10" fillId="6" borderId="6" xfId="0" applyNumberFormat="1" applyFont="1" applyFill="1" applyBorder="1" applyAlignment="1">
      <x:alignment horizontal="center"/>
    </x:xf>
    <x:xf numFmtId="203" fontId="10" fillId="6" borderId="1" xfId="0" applyNumberFormat="1" applyFont="1" applyFill="1" applyBorder="1" applyAlignment="1">
      <x:alignment horizontal="center" vertical="center"/>
    </x:xf>
    <x:xf numFmtId="203" fontId="10" fillId="6" borderId="2" xfId="0" applyNumberFormat="1" applyFont="1" applyFill="1" applyBorder="1" applyAlignment="1">
      <x:alignment horizontal="center" vertical="center"/>
    </x:xf>
    <x:xf numFmtId="203" fontId="10" fillId="6" borderId="3" xfId="0" applyNumberFormat="1" applyFont="1" applyFill="1" applyBorder="1" applyAlignment="1">
      <x:alignment horizontal="center" vertical="center"/>
    </x:xf>
    <x:xf numFmtId="203" fontId="10" fillId="6" borderId="4" xfId="0" applyNumberFormat="1" applyFont="1" applyFill="1" applyBorder="1" applyAlignment="1">
      <x:alignment horizontal="center" vertical="center"/>
    </x:xf>
    <x:xf numFmtId="203" fontId="10" fillId="6" borderId="5" xfId="0" applyNumberFormat="1" applyFont="1" applyFill="1" applyBorder="1" applyAlignment="1">
      <x:alignment horizontal="center" vertical="center"/>
    </x:xf>
    <x:xf numFmtId="203" fontId="10" fillId="6" borderId="6" xfId="0" applyNumberFormat="1" applyFont="1" applyFill="1" applyBorder="1" applyAlignment="1">
      <x:alignment horizontal="center" vertical="center"/>
    </x:xf>
    <x:xf numFmtId="200" fontId="10" fillId="6" borderId="1" xfId="0" applyNumberFormat="1" applyFont="1" applyFill="1" applyBorder="1"/>
    <x:xf numFmtId="200" fontId="10" fillId="6" borderId="2" xfId="0" applyNumberFormat="1" applyFont="1" applyFill="1" applyBorder="1"/>
    <x:xf numFmtId="200" fontId="10" fillId="6" borderId="3" xfId="0" applyNumberFormat="1" applyFont="1" applyFill="1" applyBorder="1"/>
    <x:xf numFmtId="200" fontId="10" fillId="6" borderId="4" xfId="0" applyNumberFormat="1" applyFont="1" applyFill="1" applyBorder="1"/>
    <x:xf numFmtId="200" fontId="10" fillId="6" borderId="5" xfId="0" applyNumberFormat="1" applyFont="1" applyFill="1" applyBorder="1"/>
    <x:xf numFmtId="200" fontId="10" fillId="6" borderId="6" xfId="0" applyNumberFormat="1" applyFont="1" applyFill="1" applyBorder="1"/>
    <x:xf numFmtId="200" fontId="10" fillId="6" borderId="1" xfId="0" applyNumberFormat="1" applyFont="1" applyFill="1" applyBorder="1" applyAlignment="1">
      <x:alignment horizontal="center"/>
    </x:xf>
    <x:xf numFmtId="200" fontId="10" fillId="6" borderId="2" xfId="0" applyNumberFormat="1" applyFont="1" applyFill="1" applyBorder="1" applyAlignment="1">
      <x:alignment horizontal="center"/>
    </x:xf>
    <x:xf numFmtId="200" fontId="10" fillId="6" borderId="3" xfId="0" applyNumberFormat="1" applyFont="1" applyFill="1" applyBorder="1" applyAlignment="1">
      <x:alignment horizontal="center"/>
    </x:xf>
    <x:xf numFmtId="200" fontId="10" fillId="6" borderId="4" xfId="0" applyNumberFormat="1" applyFont="1" applyFill="1" applyBorder="1" applyAlignment="1">
      <x:alignment horizontal="center"/>
    </x:xf>
    <x:xf numFmtId="200" fontId="10" fillId="6" borderId="5" xfId="0" applyNumberFormat="1" applyFont="1" applyFill="1" applyBorder="1" applyAlignment="1">
      <x:alignment horizontal="center"/>
    </x:xf>
    <x:xf numFmtId="200" fontId="10" fillId="6" borderId="6" xfId="0" applyNumberFormat="1" applyFont="1" applyFill="1" applyBorder="1" applyAlignment="1">
      <x:alignment horizontal="center"/>
    </x:xf>
    <x:xf numFmtId="200" fontId="10" fillId="6" borderId="1" xfId="0" applyNumberFormat="1" applyFont="1" applyFill="1" applyBorder="1" applyAlignment="1">
      <x:alignment horizontal="center" vertical="center"/>
    </x:xf>
    <x:xf numFmtId="200" fontId="10" fillId="6" borderId="2" xfId="0" applyNumberFormat="1" applyFont="1" applyFill="1" applyBorder="1" applyAlignment="1">
      <x:alignment horizontal="center" vertical="center"/>
    </x:xf>
    <x:xf numFmtId="200" fontId="10" fillId="6" borderId="3" xfId="0" applyNumberFormat="1" applyFont="1" applyFill="1" applyBorder="1" applyAlignment="1">
      <x:alignment horizontal="center" vertical="center"/>
    </x:xf>
    <x:xf numFmtId="200" fontId="10" fillId="6" borderId="4" xfId="0" applyNumberFormat="1" applyFont="1" applyFill="1" applyBorder="1" applyAlignment="1">
      <x:alignment horizontal="center" vertical="center"/>
    </x:xf>
    <x:xf numFmtId="200" fontId="10" fillId="6" borderId="5" xfId="0" applyNumberFormat="1" applyFont="1" applyFill="1" applyBorder="1" applyAlignment="1">
      <x:alignment horizontal="center" vertical="center"/>
    </x:xf>
    <x:xf numFmtId="200" fontId="10" fillId="6" borderId="6" xfId="0" applyNumberFormat="1" applyFont="1" applyFill="1" applyBorder="1" applyAlignment="1">
      <x:alignment horizontal="center" vertical="center"/>
    </x:xf>
    <x:xf numFmtId="202" fontId="10" fillId="6" borderId="1" xfId="0" applyNumberFormat="1" applyFont="1" applyFill="1" applyBorder="1"/>
    <x:xf numFmtId="202" fontId="10" fillId="6" borderId="2" xfId="0" applyNumberFormat="1" applyFont="1" applyFill="1" applyBorder="1"/>
    <x:xf numFmtId="202" fontId="10" fillId="6" borderId="3" xfId="0" applyNumberFormat="1" applyFont="1" applyFill="1" applyBorder="1"/>
    <x:xf numFmtId="202" fontId="10" fillId="6" borderId="4" xfId="0" applyNumberFormat="1" applyFont="1" applyFill="1" applyBorder="1"/>
    <x:xf numFmtId="202" fontId="10" fillId="6" borderId="5" xfId="0" applyNumberFormat="1" applyFont="1" applyFill="1" applyBorder="1"/>
    <x:xf numFmtId="202" fontId="10" fillId="6" borderId="6" xfId="0" applyNumberFormat="1" applyFont="1" applyFill="1" applyBorder="1"/>
    <x:xf numFmtId="202" fontId="10" fillId="6" borderId="1" xfId="0" applyNumberFormat="1" applyFont="1" applyFill="1" applyBorder="1" applyAlignment="1">
      <x:alignment horizontal="center"/>
    </x:xf>
    <x:xf numFmtId="202" fontId="10" fillId="6" borderId="2" xfId="0" applyNumberFormat="1" applyFont="1" applyFill="1" applyBorder="1" applyAlignment="1">
      <x:alignment horizontal="center"/>
    </x:xf>
    <x:xf numFmtId="202" fontId="10" fillId="6" borderId="3" xfId="0" applyNumberFormat="1" applyFont="1" applyFill="1" applyBorder="1" applyAlignment="1">
      <x:alignment horizontal="center"/>
    </x:xf>
    <x:xf numFmtId="202" fontId="10" fillId="6" borderId="4" xfId="0" applyNumberFormat="1" applyFont="1" applyFill="1" applyBorder="1" applyAlignment="1">
      <x:alignment horizontal="center"/>
    </x:xf>
    <x:xf numFmtId="202" fontId="10" fillId="6" borderId="5" xfId="0" applyNumberFormat="1" applyFont="1" applyFill="1" applyBorder="1" applyAlignment="1">
      <x:alignment horizontal="center"/>
    </x:xf>
    <x:xf numFmtId="202" fontId="10" fillId="6" borderId="6" xfId="0" applyNumberFormat="1" applyFont="1" applyFill="1" applyBorder="1" applyAlignment="1">
      <x:alignment horizontal="center"/>
    </x:xf>
    <x:xf numFmtId="202" fontId="10" fillId="6" borderId="1" xfId="0" applyNumberFormat="1" applyFont="1" applyFill="1" applyBorder="1" applyAlignment="1">
      <x:alignment horizontal="center" vertical="center"/>
    </x:xf>
    <x:xf numFmtId="202" fontId="10" fillId="6" borderId="2" xfId="0" applyNumberFormat="1" applyFont="1" applyFill="1" applyBorder="1" applyAlignment="1">
      <x:alignment horizontal="center" vertical="center"/>
    </x:xf>
    <x:xf numFmtId="202" fontId="10" fillId="6" borderId="3" xfId="0" applyNumberFormat="1" applyFont="1" applyFill="1" applyBorder="1" applyAlignment="1">
      <x:alignment horizontal="center" vertical="center"/>
    </x:xf>
    <x:xf numFmtId="202" fontId="10" fillId="6" borderId="4" xfId="0" applyNumberFormat="1" applyFont="1" applyFill="1" applyBorder="1" applyAlignment="1">
      <x:alignment horizontal="center" vertical="center"/>
    </x:xf>
    <x:xf numFmtId="202" fontId="10" fillId="6" borderId="5" xfId="0" applyNumberFormat="1" applyFont="1" applyFill="1" applyBorder="1" applyAlignment="1">
      <x:alignment horizontal="center" vertical="center"/>
    </x:xf>
    <x:xf numFmtId="202" fontId="10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7" xfId="0" applyNumberFormat="1" applyFont="1" applyFill="1" applyBorder="1"/>
    <x:xf numFmtId="200" fontId="11" fillId="0" borderId="7" xfId="0" applyNumberFormat="1" applyFont="1" applyFill="1" applyBorder="1"/>
    <x:xf numFmtId="201" fontId="11" fillId="0" borderId="7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2" xfId="0" applyNumberFormat="1" applyFont="1" applyFill="1" applyBorder="1"/>
    <x:xf numFmtId="0" fontId="9" fillId="8" borderId="3" xfId="0" applyNumberFormat="1" applyFont="1" applyFill="1" applyBorder="1"/>
    <x:xf numFmtId="0" fontId="9" fillId="8" borderId="8" xfId="0" applyNumberFormat="1" applyFont="1" applyFill="1" applyBorder="1"/>
    <x:xf numFmtId="0" fontId="9" fillId="8" borderId="9" xfId="0" applyNumberFormat="1" applyFont="1" applyFill="1" applyBorder="1"/>
    <x:xf numFmtId="0" fontId="9" fillId="8" borderId="4" xfId="0" applyNumberFormat="1" applyFont="1" applyFill="1" applyBorder="1"/>
    <x:xf numFmtId="0" fontId="9" fillId="8" borderId="5" xfId="0" applyNumberFormat="1" applyFont="1" applyFill="1" applyBorder="1"/>
    <x:xf numFmtId="0" fontId="9" fillId="8" borderId="6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9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top" wrapText="1"/>
    </x:xf>
    <x:xf numFmtId="0" fontId="9" fillId="8" borderId="2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vertical="top" wrapText="1"/>
    </x:xf>
    <x:xf numFmtId="0" fontId="9" fillId="8" borderId="8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 wrapText="1"/>
    </x:xf>
    <x:xf numFmtId="0" fontId="9" fillId="8" borderId="4" xfId="0" applyNumberFormat="1" applyFont="1" applyFill="1" applyBorder="1" applyAlignment="1">
      <x:alignment vertical="top" wrapText="1"/>
    </x:xf>
    <x:xf numFmtId="0" fontId="9" fillId="8" borderId="5" xfId="0" applyNumberFormat="1" applyFont="1" applyFill="1" applyBorder="1" applyAlignment="1">
      <x:alignment vertical="top" wrapText="1"/>
    </x:xf>
    <x:xf numFmtId="0" fontId="9" fillId="8" borderId="6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/>
    <x:xf numFmtId="0" fontId="14" fillId="0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203" fontId="16" fillId="6" borderId="1" xfId="0" applyNumberFormat="1" applyFont="1" applyFill="1" applyBorder="1" applyAlignment="1">
      <x:alignment horizontal="center" vertical="center"/>
    </x:xf>
    <x:xf numFmtId="203" fontId="16" fillId="6" borderId="2" xfId="0" applyNumberFormat="1" applyFont="1" applyFill="1" applyBorder="1" applyAlignment="1">
      <x:alignment horizontal="center" vertical="center"/>
    </x:xf>
    <x:xf numFmtId="203" fontId="16" fillId="6" borderId="3" xfId="0" applyNumberFormat="1" applyFont="1" applyFill="1" applyBorder="1" applyAlignment="1">
      <x:alignment horizontal="center" vertical="center"/>
    </x:xf>
    <x:xf numFmtId="200" fontId="16" fillId="6" borderId="1" xfId="0" applyNumberFormat="1" applyFont="1" applyFill="1" applyBorder="1" applyAlignment="1">
      <x:alignment horizontal="center" vertical="center"/>
    </x:xf>
    <x:xf numFmtId="200" fontId="16" fillId="6" borderId="2" xfId="0" applyNumberFormat="1" applyFont="1" applyFill="1" applyBorder="1" applyAlignment="1">
      <x:alignment horizontal="center" vertical="center"/>
    </x:xf>
    <x:xf numFmtId="200" fontId="16" fillId="6" borderId="3" xfId="0" applyNumberFormat="1" applyFont="1" applyFill="1" applyBorder="1" applyAlignment="1">
      <x:alignment horizontal="center" vertical="center"/>
    </x:xf>
    <x:xf numFmtId="202" fontId="16" fillId="6" borderId="1" xfId="0" applyNumberFormat="1" applyFont="1" applyFill="1" applyBorder="1" applyAlignment="1">
      <x:alignment horizontal="center" vertical="center"/>
    </x:xf>
    <x:xf numFmtId="202" fontId="16" fillId="6" borderId="2" xfId="0" applyNumberFormat="1" applyFont="1" applyFill="1" applyBorder="1" applyAlignment="1">
      <x:alignment horizontal="center" vertical="center"/>
    </x:xf>
    <x:xf numFmtId="202" fontId="16" fillId="6" borderId="3" xfId="0" applyNumberFormat="1" applyFont="1" applyFill="1" applyBorder="1" applyAlignment="1">
      <x:alignment horizontal="center" vertical="center"/>
    </x:xf>
    <x:xf numFmtId="203" fontId="16" fillId="6" borderId="4" xfId="0" applyNumberFormat="1" applyFont="1" applyFill="1" applyBorder="1" applyAlignment="1">
      <x:alignment horizontal="center" vertical="center"/>
    </x:xf>
    <x:xf numFmtId="203" fontId="16" fillId="6" borderId="5" xfId="0" applyNumberFormat="1" applyFont="1" applyFill="1" applyBorder="1" applyAlignment="1">
      <x:alignment horizontal="center" vertical="center"/>
    </x:xf>
    <x:xf numFmtId="203" fontId="16" fillId="6" borderId="6" xfId="0" applyNumberFormat="1" applyFont="1" applyFill="1" applyBorder="1" applyAlignment="1">
      <x:alignment horizontal="center" vertical="center"/>
    </x:xf>
    <x:xf numFmtId="200" fontId="16" fillId="6" borderId="4" xfId="0" applyNumberFormat="1" applyFont="1" applyFill="1" applyBorder="1" applyAlignment="1">
      <x:alignment horizontal="center" vertical="center"/>
    </x:xf>
    <x:xf numFmtId="200" fontId="16" fillId="6" borderId="5" xfId="0" applyNumberFormat="1" applyFont="1" applyFill="1" applyBorder="1" applyAlignment="1">
      <x:alignment horizontal="center" vertical="center"/>
    </x:xf>
    <x:xf numFmtId="200" fontId="16" fillId="6" borderId="6" xfId="0" applyNumberFormat="1" applyFont="1" applyFill="1" applyBorder="1" applyAlignment="1">
      <x:alignment horizontal="center" vertical="center"/>
    </x:xf>
    <x:xf numFmtId="202" fontId="16" fillId="6" borderId="4" xfId="0" applyNumberFormat="1" applyFont="1" applyFill="1" applyBorder="1" applyAlignment="1">
      <x:alignment horizontal="center" vertical="center"/>
    </x:xf>
    <x:xf numFmtId="202" fontId="16" fillId="6" borderId="5" xfId="0" applyNumberFormat="1" applyFont="1" applyFill="1" applyBorder="1" applyAlignment="1">
      <x:alignment horizontal="center" vertical="center"/>
    </x:xf>
    <x:xf numFmtId="202" fontId="16" fillId="6" borderId="6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/>
    <x:xf numFmtId="0" fontId="15" fillId="7" borderId="0" xfId="0" applyNumberFormat="1" applyFont="1" applyFill="1" applyBorder="1"/>
    <x:xf numFmtId="200" fontId="14" fillId="0" borderId="0" xfId="0" applyNumberFormat="1" applyFont="1" applyFill="1" applyBorder="1"/>
    <x:xf numFmtId="202" fontId="14" fillId="0" borderId="0" xfId="0" applyNumberFormat="1" applyFont="1" applyFill="1" applyBorder="1"/>
    <x:xf numFmtId="201" fontId="14" fillId="0" borderId="0" xfId="0" applyNumberFormat="1" applyFont="1" applyFill="1" applyBorder="1"/>
    <x:xf numFmtId="0" fontId="17" fillId="0" borderId="7" xfId="0" applyNumberFormat="1" applyFont="1" applyFill="1" applyBorder="1"/>
    <x:xf numFmtId="200" fontId="17" fillId="0" borderId="7" xfId="0" applyNumberFormat="1" applyFont="1" applyFill="1" applyBorder="1"/>
    <x:xf numFmtId="201" fontId="17" fillId="0" borderId="7" xfId="0" applyNumberFormat="1" applyFont="1" applyFill="1" applyBorder="1"/>
    <x:xf numFmtId="0" fontId="13" fillId="8" borderId="1" xfId="0" applyNumberFormat="1" applyFont="1" applyFill="1" applyBorder="1" applyAlignment="1">
      <x:alignment vertical="top" wrapText="1"/>
    </x:xf>
    <x:xf numFmtId="0" fontId="13" fillId="8" borderId="2" xfId="0" applyNumberFormat="1" applyFont="1" applyFill="1" applyBorder="1" applyAlignment="1">
      <x:alignment vertical="top" wrapText="1"/>
    </x:xf>
    <x:xf numFmtId="0" fontId="13" fillId="8" borderId="3" xfId="0" applyNumberFormat="1" applyFont="1" applyFill="1" applyBorder="1" applyAlignment="1">
      <x:alignment vertical="top" wrapText="1"/>
    </x:xf>
    <x:xf numFmtId="0" fontId="13" fillId="8" borderId="8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top" wrapText="1"/>
    </x:xf>
    <x:xf numFmtId="0" fontId="13" fillId="8" borderId="9" xfId="0" applyNumberFormat="1" applyFont="1" applyFill="1" applyBorder="1" applyAlignment="1">
      <x:alignment vertical="top" wrapText="1"/>
    </x:xf>
    <x:xf numFmtId="0" fontId="13" fillId="8" borderId="4" xfId="0" applyNumberFormat="1" applyFont="1" applyFill="1" applyBorder="1" applyAlignment="1">
      <x:alignment vertical="top" wrapText="1"/>
    </x:xf>
    <x:xf numFmtId="0" fontId="13" fillId="8" borderId="5" xfId="0" applyNumberFormat="1" applyFont="1" applyFill="1" applyBorder="1" applyAlignment="1">
      <x:alignment vertical="top" wrapText="1"/>
    </x:xf>
    <x:xf numFmtId="0" fontId="13" fillId="8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27A48"/>
      </x:font>
      <x:fill>
        <x:patternFill patternType="solid">
          <x:bgColor rgb="FFD1FADF"/>
        </x:patternFill>
      </x:fill>
    </x:dxf>
    <x:dxf>
      <x:font>
        <x:b/>
        <x:color rgb="FFD92D20"/>
      </x:font>
      <x:fill>
        <x:patternFill patternType="solid">
          <x:bgColor rgb="FFFEE4E2"/>
        </x:patternFill>
      </x:fill>
    </x:dxf>
    <x:dxf>
      <x:font>
        <x:b/>
        <x:color rgb="FFD92D20"/>
      </x:font>
      <x:fill>
        <x:patternFill patternType="solid">
          <x:bgColor rgb="FFFEE4E2"/>
        </x:patternFill>
      </x:fill>
    </x:dxf>
    <x:dxf>
      <x:font>
        <x:color rgb="FFB54708"/>
      </x:font>
      <x:fill>
        <x:patternFill patternType="solid">
          <x:bgColor rgb="FFFE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8d46ed42846e9" /><Relationship Type="http://schemas.openxmlformats.org/officeDocument/2006/relationships/theme" Target="/xl/theme/theme1.xml" Id="Refcafe98a0994dbd" /><Relationship Type="http://schemas.openxmlformats.org/officeDocument/2006/relationships/sharedStrings" Target="/xl/sharedStrings.xml" Id="Recb5c747333640dc" /><Relationship Type="http://schemas.openxmlformats.org/officeDocument/2006/relationships/worksheet" Target="/xl/worksheets/sheet1.xml" Id="Rc74cd030cde44dbd" /><Relationship Type="http://schemas.openxmlformats.org/officeDocument/2006/relationships/worksheet" Target="/xl/worksheets/sheet2.xml" Id="R89cfc11d335e4949" /><Relationship Type="http://schemas.openxmlformats.org/officeDocument/2006/relationships/worksheet" Target="/xl/worksheets/sheet3.xml" Id="R39cfd7fcb2054c0e" /><Relationship Type="http://schemas.microsoft.com/office/2017/10/relationships/person" Target="/xl/persons/person.xml" Id="R242bc0cf4d294a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03ac60181548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Exposure by risk band (€)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Exposure</c:v>
          </c:tx>
          <c:cat>
            <c:strRef>
              <c:f>'Executive Brief'!$H$11:$H$14</c:f>
              <c:strCache>
                <c:ptCount val="0"/>
              </c:strCache>
            </c:strRef>
          </c:cat>
          <c:val>
            <c:numRef>
              <c:f>'Executive Brief'!$I$11:$I$14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03ac601815482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llen" id="{2781FAA5-6522-47F0-83BD-1922656356B9}"/>
</xltc:personList>
</file>

<file path=xl/tables/table1.xml><?xml version="1.0" encoding="utf-8"?>
<x:table xmlns:x="http://schemas.openxmlformats.org/spreadsheetml/2006/main" id="1" name="TopRiskTable" displayName="TopRiskTable" ref="A4:P54" headerRowCount="1" totalsRowCount="0" totalsRowShown="0">
  <x:tableColumns count="16">
    <x:tableColumn id="1" name="Customer ID"/>
    <x:tableColumn id="2" name="Synthetic Name"/>
    <x:tableColumn id="3" name="Region"/>
    <x:tableColumn id="4" name="Segment"/>
    <x:tableColumn id="5" name="Income"/>
    <x:tableColumn id="6" name="Vulnerable"/>
    <x:tableColumn id="7" name="Loan ID"/>
    <x:tableColumn id="8" name="Exposure"/>
    <x:tableColumn id="9" name="Utilisation"/>
    <x:tableColumn id="10" name="DPD"/>
    <x:tableColumn id="11" name="Missed 12M"/>
    <x:tableColumn id="12" name="Affordability"/>
    <x:tableColumn id="13" name="Risk Score"/>
    <x:tableColumn id="14" name="Rank"/>
    <x:tableColumn id="15" name="Risk Band"/>
    <x:tableColumn id="16" name="Action (XLOOKU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8-16T06:59:00.629" personId="{2781FAA5-6522-47F0-83BD-1922656356B9}" id="{A13314DE-064F-DE34-7E24-72B27480B9B5}">
    <xltc:text>Formula-driven exposure total sourced from the Top 5% Risk Detail sheet.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c06f0cf521c460e" /><Relationship Type="http://schemas.openxmlformats.org/officeDocument/2006/relationships/vmlDrawing" Target="/xl/drawings/vmldrawing.vml" Id="Rdbdb0083ca434451" /><Relationship Type="http://schemas.microsoft.com/office/2017/10/relationships/threadedComment" Target="/xl/threadedcomments/threadedcomment.xml" Id="R6628ca78bdff4433" /><Relationship Type="http://schemas.openxmlformats.org/officeDocument/2006/relationships/drawing" Target="/xl/drawings/drawing1.xml" Id="R3b05386f1f564e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7ead76aa7149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7" t="str">
        <x:v>EXECUTIVE RISK BRIEF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</x:row>
    <x:row r="2">
      <x:c r="A2" s="117"/>
      <x:c r="B2" s="117"/>
      <x:c r="C2" s="117"/>
      <x:c r="D2" s="117"/>
      <x:c r="E2" s="117"/>
      <x:c r="F2" s="117"/>
      <x:c r="G2" s="117"/>
      <x:c r="H2" s="117"/>
      <x:c r="I2" s="117"/>
      <x:c r="J2" s="117"/>
      <x:c r="K2" s="117"/>
      <x:c r="L2" s="117"/>
    </x:row>
    <x:row r="3" ht="24" customHeight="1">
      <x:c r="A3" s="118" t="str">
        <x:v>Financial Health &amp; Credit Risk Intelligence Platform | Top 5% highest-risk customers | Synthetic data | As at 30 Jun 2026</x:v>
      </x:c>
      <x:c r="B3" s="118"/>
      <x:c r="C3" s="118"/>
      <x:c r="D3" s="118"/>
      <x:c r="E3" s="118"/>
      <x:c r="F3" s="118"/>
      <x:c r="G3" s="118"/>
      <x:c r="H3" s="118"/>
      <x:c r="I3" s="118"/>
      <x:c r="J3" s="118"/>
      <x:c r="K3" s="118"/>
      <x:c r="L3" s="118"/>
    </x:row>
    <x:row r="4">
      <x:c r="A4" s="119"/>
      <x:c r="B4" s="119"/>
      <x:c r="C4" s="119"/>
      <x:c r="D4" s="119"/>
      <x:c r="E4" s="119"/>
      <x:c r="F4" s="119"/>
      <x:c r="G4" s="119"/>
      <x:c r="H4" s="119"/>
      <x:c r="I4" s="119"/>
      <x:c r="J4" s="119"/>
      <x:c r="K4" s="119"/>
      <x:c r="L4" s="119"/>
    </x:row>
    <x:row r="5">
      <x:c r="A5" s="120" t="str">
        <x:v>Customers in focus</x:v>
      </x:c>
      <x:c r="B5" s="120"/>
      <x:c r="C5" s="120"/>
      <x:c r="D5" s="120" t="str">
        <x:v>Exposure in focus</x:v>
      </x:c>
      <x:c r="E5" s="120"/>
      <x:c r="F5" s="120"/>
      <x:c r="G5" s="120" t="str">
        <x:v>30+ DPD exposure</x:v>
      </x:c>
      <x:c r="H5" s="120"/>
      <x:c r="I5" s="120"/>
      <x:c r="J5" s="120" t="str">
        <x:v>Average risk score</x:v>
      </x:c>
      <x:c r="K5" s="120"/>
      <x:c r="L5" s="120"/>
    </x:row>
    <x:row r="6">
      <x:c r="A6" s="121" t="n">
        <x:f>COUNTA('Top 5% Risk Detail'!$A$5:$A$54)</x:f>
        <x:v>50</x:v>
      </x:c>
      <x:c r="B6" s="122"/>
      <x:c r="C6" s="123"/>
      <x:c r="D6" s="124" t="n">
        <x:f>SUM('Top 5% Risk Detail'!$H$5:$H$54)</x:f>
        <x:v>734668.66</x:v>
      </x:c>
      <x:c r="E6" s="125"/>
      <x:c r="F6" s="126"/>
      <x:c r="G6" s="124" t="n">
        <x:f>SUMIFS('Top 5% Risk Detail'!$H$5:$H$54,'Top 5% Risk Detail'!$J$5:$J$54,"&gt;=30")</x:f>
        <x:v>688732.76</x:v>
      </x:c>
      <x:c r="H6" s="125"/>
      <x:c r="I6" s="126"/>
      <x:c r="J6" s="127" t="n">
        <x:f>AVERAGE('Top 5% Risk Detail'!$M$5:$M$54)</x:f>
        <x:v>68.31400000000002</x:v>
      </x:c>
      <x:c r="K6" s="128"/>
      <x:c r="L6" s="129"/>
    </x:row>
    <x:row r="7">
      <x:c r="A7" s="130"/>
      <x:c r="B7" s="131"/>
      <x:c r="C7" s="132"/>
      <x:c r="D7" s="133"/>
      <x:c r="E7" s="134"/>
      <x:c r="F7" s="135"/>
      <x:c r="G7" s="133"/>
      <x:c r="H7" s="134"/>
      <x:c r="I7" s="135"/>
      <x:c r="J7" s="136"/>
      <x:c r="K7" s="137"/>
      <x:c r="L7" s="138"/>
    </x:row>
    <x:row r="8">
      <x:c r="A8" s="119"/>
      <x:c r="B8" s="119"/>
      <x:c r="C8" s="119"/>
      <x:c r="D8" s="119"/>
      <x:c r="E8" s="119"/>
      <x:c r="F8" s="119"/>
      <x:c r="G8" s="119"/>
      <x:c r="H8" s="119"/>
      <x:c r="I8" s="119"/>
      <x:c r="J8" s="119"/>
      <x:c r="K8" s="119"/>
      <x:c r="L8" s="119"/>
    </x:row>
    <x:row r="9">
      <x:c r="A9" s="139" t="str">
        <x:v>PIVOT-STYLE RISK SUMMARY</x:v>
      </x:c>
      <x:c r="B9" s="139"/>
      <x:c r="C9" s="139"/>
      <x:c r="D9" s="139"/>
      <x:c r="E9" s="139"/>
      <x:c r="F9" s="139"/>
      <x:c r="G9" s="119"/>
      <x:c r="H9" s="119"/>
      <x:c r="I9" s="119"/>
      <x:c r="J9" s="119"/>
      <x:c r="K9" s="119"/>
      <x:c r="L9" s="119"/>
    </x:row>
    <x:row r="10">
      <x:c r="A10" s="140" t="str">
        <x:v>Risk Band</x:v>
      </x:c>
      <x:c r="B10" s="140" t="str">
        <x:v>Customers</x:v>
      </x:c>
      <x:c r="C10" s="140" t="str">
        <x:v>Exposure</x:v>
      </x:c>
      <x:c r="D10" s="140" t="str">
        <x:v>Avg Score</x:v>
      </x:c>
      <x:c r="E10" s="140" t="str">
        <x:v>30+ DPD Exposure</x:v>
      </x:c>
      <x:c r="F10" s="140" t="str">
        <x:v>Share of Focus</x:v>
      </x:c>
      <x:c r="G10" s="119"/>
      <x:c r="H10" s="119" t="str">
        <x:v>Band</x:v>
      </x:c>
      <x:c r="I10" s="119" t="str">
        <x:v>Exposure</x:v>
      </x:c>
      <x:c r="J10" s="119"/>
      <x:c r="K10" s="119"/>
      <x:c r="L10" s="119"/>
    </x:row>
    <x:row r="11">
      <x:c r="A11" s="119" t="str">
        <x:v>Critical</x:v>
      </x:c>
      <x:c r="B11" s="119" t="n">
        <x:f>COUNTIF('Top 5% Risk Detail'!$O$5:$O$54,A11)</x:f>
        <x:v>10</x:v>
      </x:c>
      <x:c r="C11" s="141" t="n">
        <x:f>SUMIF('Top 5% Risk Detail'!$O$5:$O$54,A11,'Top 5% Risk Detail'!$H$5:$H$54)</x:f>
        <x:v>143285.73</x:v>
      </x:c>
      <x:c r="D11" s="142" t="n">
        <x:f>IFERROR(AVERAGEIF('Top 5% Risk Detail'!$O$5:$O$54,A11,'Top 5% Risk Detail'!$M$5:$M$54),0)</x:f>
        <x:v>81.91999999999999</x:v>
      </x:c>
      <x:c r="E11" s="141" t="n">
        <x:f>SUMIFS('Top 5% Risk Detail'!$H$5:$H$54,'Top 5% Risk Detail'!$O$5:$O$54,A11,'Top 5% Risk Detail'!$J$5:$J$54,"&gt;=30")</x:f>
        <x:v>143285.73</x:v>
      </x:c>
      <x:c r="F11" s="143" t="n">
        <x:f>B11/$A$6</x:f>
        <x:v>0.2</x:v>
      </x:c>
      <x:c r="G11" s="119"/>
      <x:c r="H11" s="119" t="str">
        <x:v>Critical</x:v>
      </x:c>
      <x:c r="I11" s="119" t="n">
        <x:f>C11</x:f>
        <x:v>143285.73</x:v>
      </x:c>
      <x:c r="J11" s="119"/>
      <x:c r="K11" s="119"/>
      <x:c r="L11" s="119"/>
    </x:row>
    <x:row r="12">
      <x:c r="A12" s="119" t="str">
        <x:v>High</x:v>
      </x:c>
      <x:c r="B12" s="119" t="n">
        <x:f>COUNTIF('Top 5% Risk Detail'!$O$5:$O$54,A12)</x:f>
        <x:v>34</x:v>
      </x:c>
      <x:c r="C12" s="141" t="n">
        <x:f>SUMIF('Top 5% Risk Detail'!$O$5:$O$54,A12,'Top 5% Risk Detail'!$H$5:$H$54)</x:f>
        <x:v>489725.05999999994</x:v>
      </x:c>
      <x:c r="D12" s="142" t="n">
        <x:f>IFERROR(AVERAGEIF('Top 5% Risk Detail'!$O$5:$O$54,A12,'Top 5% Risk Detail'!$M$5:$M$54),0)</x:f>
        <x:v>66.14117647058825</x:v>
      </x:c>
      <x:c r="E12" s="141" t="n">
        <x:f>SUMIFS('Top 5% Risk Detail'!$H$5:$H$54,'Top 5% Risk Detail'!$O$5:$O$54,A12,'Top 5% Risk Detail'!$J$5:$J$54,"&gt;=30")</x:f>
        <x:v>489725.05999999994</x:v>
      </x:c>
      <x:c r="F12" s="143" t="n">
        <x:f>B12/$A$6</x:f>
        <x:v>0.68</x:v>
      </x:c>
      <x:c r="G12" s="119"/>
      <x:c r="H12" s="119" t="str">
        <x:v>High</x:v>
      </x:c>
      <x:c r="I12" s="119" t="n">
        <x:f>C12</x:f>
        <x:v>489725.05999999994</x:v>
      </x:c>
      <x:c r="J12" s="119"/>
      <x:c r="K12" s="119"/>
      <x:c r="L12" s="119"/>
    </x:row>
    <x:row r="13">
      <x:c r="A13" s="119" t="str">
        <x:v>Medium</x:v>
      </x:c>
      <x:c r="B13" s="119" t="n">
        <x:f>COUNTIF('Top 5% Risk Detail'!$O$5:$O$54,A13)</x:f>
        <x:v>6</x:v>
      </x:c>
      <x:c r="C13" s="141" t="n">
        <x:f>SUMIF('Top 5% Risk Detail'!$O$5:$O$54,A13,'Top 5% Risk Detail'!$H$5:$H$54)</x:f>
        <x:v>101657.87</x:v>
      </x:c>
      <x:c r="D13" s="142" t="n">
        <x:f>IFERROR(AVERAGEIF('Top 5% Risk Detail'!$O$5:$O$54,A13,'Top 5% Risk Detail'!$M$5:$M$54),0)</x:f>
        <x:v>57.949999999999996</x:v>
      </x:c>
      <x:c r="E13" s="141" t="n">
        <x:f>SUMIFS('Top 5% Risk Detail'!$H$5:$H$54,'Top 5% Risk Detail'!$O$5:$O$54,A13,'Top 5% Risk Detail'!$J$5:$J$54,"&gt;=30")</x:f>
        <x:v>55721.97</x:v>
      </x:c>
      <x:c r="F13" s="143" t="n">
        <x:f>B13/$A$6</x:f>
        <x:v>0.12</x:v>
      </x:c>
      <x:c r="G13" s="119"/>
      <x:c r="H13" s="119" t="str">
        <x:v>Medium</x:v>
      </x:c>
      <x:c r="I13" s="119" t="n">
        <x:f>C13</x:f>
        <x:v>101657.87</x:v>
      </x:c>
      <x:c r="J13" s="119"/>
      <x:c r="K13" s="119"/>
      <x:c r="L13" s="119"/>
    </x:row>
    <x:row r="14">
      <x:c r="A14" s="119" t="str">
        <x:v>Low</x:v>
      </x:c>
      <x:c r="B14" s="119" t="n">
        <x:f>COUNTIF('Top 5% Risk Detail'!$O$5:$O$54,A14)</x:f>
        <x:v>0</x:v>
      </x:c>
      <x:c r="C14" s="141" t="n">
        <x:f>SUMIF('Top 5% Risk Detail'!$O$5:$O$54,A14,'Top 5% Risk Detail'!$H$5:$H$54)</x:f>
        <x:v>0</x:v>
      </x:c>
      <x:c r="D14" s="142" t="n">
        <x:f>IFERROR(AVERAGEIF('Top 5% Risk Detail'!$O$5:$O$54,A14,'Top 5% Risk Detail'!$M$5:$M$54),0)</x:f>
        <x:v>0</x:v>
      </x:c>
      <x:c r="E14" s="141" t="n">
        <x:f>SUMIFS('Top 5% Risk Detail'!$H$5:$H$54,'Top 5% Risk Detail'!$O$5:$O$54,A14,'Top 5% Risk Detail'!$J$5:$J$54,"&gt;=30")</x:f>
        <x:v>0</x:v>
      </x:c>
      <x:c r="F14" s="143" t="n">
        <x:f>B14/$A$6</x:f>
        <x:v>0</x:v>
      </x:c>
      <x:c r="G14" s="119"/>
      <x:c r="H14" s="119" t="str">
        <x:v>Low</x:v>
      </x:c>
      <x:c r="I14" s="119" t="n">
        <x:f>C14</x:f>
        <x:v>0</x:v>
      </x:c>
      <x:c r="J14" s="119"/>
      <x:c r="K14" s="119"/>
      <x:c r="L14" s="119"/>
    </x:row>
    <x:row r="15">
      <x:c r="A15" s="144" t="str">
        <x:v>Total</x:v>
      </x:c>
      <x:c r="B15" s="144" t="n">
        <x:f>SUM(B11:B14)</x:f>
        <x:v>50</x:v>
      </x:c>
      <x:c r="C15" s="145" t="n">
        <x:f>SUM(C11:C14)</x:f>
        <x:v>734668.6599999999</x:v>
      </x:c>
      <x:c r="D15" s="144"/>
      <x:c r="E15" s="145" t="n">
        <x:f>SUM(E11:E14)</x:f>
        <x:v>688732.7599999999</x:v>
      </x:c>
      <x:c r="F15" s="146" t="n">
        <x:f>SUM(F11:F14)</x:f>
        <x:v>1</x:v>
      </x:c>
      <x:c r="G15" s="119"/>
      <x:c r="H15" s="119"/>
      <x:c r="I15" s="119"/>
      <x:c r="J15" s="119"/>
      <x:c r="K15" s="119"/>
      <x:c r="L15" s="119"/>
    </x:row>
    <x:row r="16">
      <x:c r="A16" s="119"/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9"/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</x:row>
    <x:row r="18">
      <x:c r="A18" s="139" t="str">
        <x:v>REGIONAL PRIORITY</x:v>
      </x:c>
      <x:c r="B18" s="139"/>
      <x:c r="C18" s="139"/>
      <x:c r="D18" s="139"/>
      <x:c r="E18" s="139"/>
      <x:c r="F18" s="139"/>
      <x:c r="G18" s="119"/>
      <x:c r="H18" s="119"/>
      <x:c r="I18" s="119"/>
      <x:c r="J18" s="119"/>
      <x:c r="K18" s="119"/>
      <x:c r="L18" s="119"/>
    </x:row>
    <x:row r="19">
      <x:c r="A19" s="140" t="str">
        <x:v>Region</x:v>
      </x:c>
      <x:c r="B19" s="140" t="str">
        <x:v>Customers</x:v>
      </x:c>
      <x:c r="C19" s="140" t="str">
        <x:v>Exposure</x:v>
      </x:c>
      <x:c r="D19" s="119"/>
      <x:c r="E19" s="119"/>
      <x:c r="F19" s="119"/>
      <x:c r="G19" s="119"/>
      <x:c r="H19" s="119"/>
      <x:c r="I19" s="119"/>
      <x:c r="J19" s="119"/>
      <x:c r="K19" s="119"/>
      <x:c r="L19" s="119"/>
    </x:row>
    <x:row r="20">
      <x:c r="A20" s="119" t="str">
        <x:v>Dublin</x:v>
      </x:c>
      <x:c r="B20" s="119" t="n">
        <x:f>COUNTIF('Top 5% Risk Detail'!$C$5:$C$54,A20)</x:f>
        <x:v>17</x:v>
      </x:c>
      <x:c r="C20" s="141" t="n">
        <x:f>SUMIF('Top 5% Risk Detail'!$C$5:$C$54,A20,'Top 5% Risk Detail'!$H$5:$H$54)</x:f>
        <x:v>258568.73999999996</x:v>
      </x:c>
      <x:c r="D20" s="119"/>
      <x:c r="E20" s="119"/>
      <x:c r="F20" s="119"/>
      <x:c r="G20" s="119"/>
      <x:c r="H20" s="119"/>
      <x:c r="I20" s="119"/>
      <x:c r="J20" s="119"/>
      <x:c r="K20" s="119"/>
      <x:c r="L20" s="119"/>
    </x:row>
    <x:row r="21">
      <x:c r="A21" s="119" t="str">
        <x:v>Leinster</x:v>
      </x:c>
      <x:c r="B21" s="119" t="n">
        <x:f>COUNTIF('Top 5% Risk Detail'!$C$5:$C$54,A21)</x:f>
        <x:v>12</x:v>
      </x:c>
      <x:c r="C21" s="141" t="n">
        <x:f>SUMIF('Top 5% Risk Detail'!$C$5:$C$54,A21,'Top 5% Risk Detail'!$H$5:$H$54)</x:f>
        <x:v>171360.98999999996</x:v>
      </x:c>
      <x:c r="D21" s="119"/>
      <x:c r="E21" s="119"/>
      <x:c r="F21" s="119"/>
      <x:c r="G21" s="119"/>
      <x:c r="H21" s="119"/>
      <x:c r="I21" s="119"/>
      <x:c r="J21" s="119"/>
      <x:c r="K21" s="119"/>
      <x:c r="L21" s="119"/>
    </x:row>
    <x:row r="22">
      <x:c r="A22" s="119" t="str">
        <x:v>Munster</x:v>
      </x:c>
      <x:c r="B22" s="119" t="n">
        <x:f>COUNTIF('Top 5% Risk Detail'!$C$5:$C$54,A22)</x:f>
        <x:v>9</x:v>
      </x:c>
      <x:c r="C22" s="141" t="n">
        <x:f>SUMIF('Top 5% Risk Detail'!$C$5:$C$54,A22,'Top 5% Risk Detail'!$H$5:$H$54)</x:f>
        <x:v>152176.13</x:v>
      </x:c>
      <x:c r="D22" s="119"/>
      <x:c r="E22" s="119"/>
      <x:c r="F22" s="119"/>
      <x:c r="G22" s="119"/>
      <x:c r="H22" s="119"/>
      <x:c r="I22" s="119"/>
      <x:c r="J22" s="119"/>
      <x:c r="K22" s="119"/>
      <x:c r="L22" s="119"/>
    </x:row>
    <x:row r="23">
      <x:c r="A23" s="119" t="str">
        <x:v>Connacht</x:v>
      </x:c>
      <x:c r="B23" s="119" t="n">
        <x:f>COUNTIF('Top 5% Risk Detail'!$C$5:$C$54,A23)</x:f>
        <x:v>8</x:v>
      </x:c>
      <x:c r="C23" s="141" t="n">
        <x:f>SUMIF('Top 5% Risk Detail'!$C$5:$C$54,A23,'Top 5% Risk Detail'!$H$5:$H$54)</x:f>
        <x:v>96702.03</x:v>
      </x:c>
      <x:c r="D23" s="119"/>
      <x:c r="E23" s="119"/>
      <x:c r="F23" s="119"/>
      <x:c r="G23" s="119"/>
      <x:c r="H23" s="119"/>
      <x:c r="I23" s="119"/>
      <x:c r="J23" s="119"/>
      <x:c r="K23" s="119"/>
      <x:c r="L23" s="119"/>
    </x:row>
    <x:row r="24">
      <x:c r="A24" s="119" t="str">
        <x:v>Ulster (ROI)</x:v>
      </x:c>
      <x:c r="B24" s="119" t="n">
        <x:f>COUNTIF('Top 5% Risk Detail'!$C$5:$C$54,A24)</x:f>
        <x:v>4</x:v>
      </x:c>
      <x:c r="C24" s="141" t="n">
        <x:f>SUMIF('Top 5% Risk Detail'!$C$5:$C$54,A24,'Top 5% Risk Detail'!$H$5:$H$54)</x:f>
        <x:v>55860.77</x:v>
      </x:c>
      <x:c r="D24" s="119"/>
      <x:c r="E24" s="119"/>
      <x:c r="F24" s="119"/>
      <x:c r="G24" s="119"/>
      <x:c r="H24" s="119"/>
      <x:c r="I24" s="119"/>
      <x:c r="J24" s="119"/>
      <x:c r="K24" s="119"/>
      <x:c r="L24" s="119"/>
    </x:row>
    <x:row r="25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</x:row>
    <x:row r="26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119"/>
    </x:row>
    <x:row r="27">
      <x:c r="A27" s="139" t="str">
        <x:v>MANAGEMENT ACTIONS</x:v>
      </x:c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</x:row>
    <x:row r="28">
      <x:c r="A28" s="147" t="str">
        <x:v>1. Prioritise human review for customers in arrears, with supportive contact and vulnerability safeguards.
2. Track utilisation, missed payments and cashflow deterioration monthly; investigate material movement before action.
3. Retain reconciliation as a release gate. This illustrative score is not validated for lending or automated adverse decisions.</x:v>
      </x:c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9"/>
    </x:row>
    <x:row r="29">
      <x:c r="A29" s="150"/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2"/>
    </x:row>
    <x:row r="30">
      <x:c r="A30" s="153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5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F9"/>
    <x:mergeCell ref="A18:F18"/>
    <x:mergeCell ref="A27:L27"/>
    <x:mergeCell ref="A28:L30"/>
  </x:mergeCells>
  <x:conditionalFormatting sqref="A11:F14">
    <x:cfRule type="expression" dxfId="2" priority="1">
      <x:formula>$A11="Critical"</x:formula>
    </x:cfRule>
    <x:cfRule type="expression" dxfId="3" priority="2">
      <x:formula>$A11="High"</x:formula>
    </x:cfRule>
  </x:conditionalFormatting>
  <x:pageMargins left="0.7" right="0.7" top="0.75" bottom="0.75" header="0.3" footer="0.3"/>
  <x:drawing xmlns:r="http://schemas.openxmlformats.org/officeDocument/2006/relationships" r:id="R3b05386f1f564ebc"/>
  <x:legacyDrawing xmlns:r="http://schemas.openxmlformats.org/officeDocument/2006/relationships" r:id="Rdbdb0083ca43445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6" hidden="0" customWidth="1"/>
  </x:cols>
  <x:sheetData>
    <x:row r="1" ht="30" customHeight="1">
      <x:c r="A1" s="7" t="str">
        <x:v>TOP 5% HIGHEST-RISK CUSTOMERS — SYNTHETIC DATA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ht="24" customHeight="1">
      <x:c r="A2" s="9" t="str">
        <x:v>Illustrative prioritisation only; not a production credit decision model.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 ht="32" customHeight="1">
      <x:c r="A4" s="12" t="str">
        <x:v>Customer ID</x:v>
      </x:c>
      <x:c r="B4" s="12" t="str">
        <x:v>Synthetic Name</x:v>
      </x:c>
      <x:c r="C4" s="12" t="str">
        <x:v>Region</x:v>
      </x:c>
      <x:c r="D4" s="12" t="str">
        <x:v>Segment</x:v>
      </x:c>
      <x:c r="E4" s="12" t="str">
        <x:v>Income</x:v>
      </x:c>
      <x:c r="F4" s="12" t="str">
        <x:v>Vulnerable</x:v>
      </x:c>
      <x:c r="G4" s="12" t="str">
        <x:v>Loan ID</x:v>
      </x:c>
      <x:c r="H4" s="12" t="str">
        <x:v>Exposure</x:v>
      </x:c>
      <x:c r="I4" s="12" t="str">
        <x:v>Utilisation</x:v>
      </x:c>
      <x:c r="J4" s="12" t="str">
        <x:v>DPD</x:v>
      </x:c>
      <x:c r="K4" s="12" t="str">
        <x:v>Missed 12M</x:v>
      </x:c>
      <x:c r="L4" s="12" t="str">
        <x:v>Affordability</x:v>
      </x:c>
      <x:c r="M4" s="12" t="str">
        <x:v>Risk Score</x:v>
      </x:c>
      <x:c r="N4" s="12" t="str">
        <x:v>Rank</x:v>
      </x:c>
      <x:c r="O4" s="12" t="str">
        <x:v>Risk Band</x:v>
      </x:c>
      <x:c r="P4" s="12" t="str">
        <x:v>Action (XLOOKUP)</x:v>
      </x:c>
    </x:row>
    <x:row r="5">
      <x:c r="A5" t="str">
        <x:v>C000076</x:v>
      </x:c>
      <x:c r="B5" t="str">
        <x:v>Synthetic Customer 0076</x:v>
      </x:c>
      <x:c r="C5" t="str">
        <x:v>Leinster</x:v>
      </x:c>
      <x:c r="D5" t="str">
        <x:v>Mass Market</x:v>
      </x:c>
      <x:c r="E5" s="13" t="n">
        <x:v>46816.83</x:v>
      </x:c>
      <x:c r="F5" t="n">
        <x:v>1</x:v>
      </x:c>
      <x:c r="G5" t="str">
        <x:v>L000076</x:v>
      </x:c>
      <x:c r="H5" s="13" t="n">
        <x:v>14321.87</x:v>
      </x:c>
      <x:c r="I5" s="14" t="n">
        <x:v>0.99</x:v>
      </x:c>
      <x:c r="J5" t="n">
        <x:v>90</x:v>
      </x:c>
      <x:c r="K5" t="n">
        <x:v>3</x:v>
      </x:c>
      <x:c r="L5" s="14" t="n">
        <x:v>0.9544</x:v>
      </x:c>
      <x:c r="M5" s="15" t="n">
        <x:v>93.8</x:v>
      </x:c>
      <x:c r="N5" t="n">
        <x:v>1</x:v>
      </x:c>
      <x:c r="O5" t="str">
        <x:v>Critical</x:v>
      </x:c>
      <x:c r="P5" t="str">
        <x:f>XLOOKUP(O5,'Lookup &amp; Checks'!$A$2:$A$5,'Lookup &amp; Checks'!$B$2:$B$5,"Review")</x:f>
        <x:v>Specialist support and arrears review</x:v>
      </x:c>
    </x:row>
    <x:row r="6">
      <x:c r="A6" t="str">
        <x:v>C000692</x:v>
      </x:c>
      <x:c r="B6" t="str">
        <x:v>Synthetic Customer 0692</x:v>
      </x:c>
      <x:c r="C6" t="str">
        <x:v>Ulster (ROI)</x:v>
      </x:c>
      <x:c r="D6" t="str">
        <x:v>Mass Market</x:v>
      </x:c>
      <x:c r="E6" s="13" t="n">
        <x:v>57861.27</x:v>
      </x:c>
      <x:c r="F6" t="n">
        <x:v>1</x:v>
      </x:c>
      <x:c r="G6" t="str">
        <x:v>L000692</x:v>
      </x:c>
      <x:c r="H6" s="13" t="n">
        <x:v>21280.96</x:v>
      </x:c>
      <x:c r="I6" s="14" t="n">
        <x:v>0.8839</x:v>
      </x:c>
      <x:c r="J6" t="n">
        <x:v>135</x:v>
      </x:c>
      <x:c r="K6" t="n">
        <x:v>3</x:v>
      </x:c>
      <x:c r="L6" s="14" t="n">
        <x:v>1.0854</x:v>
      </x:c>
      <x:c r="M6" s="15" t="n">
        <x:v>90.5</x:v>
      </x:c>
      <x:c r="N6" t="n">
        <x:v>2</x:v>
      </x:c>
      <x:c r="O6" t="str">
        <x:v>Critical</x:v>
      </x:c>
      <x:c r="P6" t="str">
        <x:f>XLOOKUP(O6,'Lookup &amp; Checks'!$A$2:$A$5,'Lookup &amp; Checks'!$B$2:$B$5,"Review")</x:f>
        <x:v>Specialist support and arrears review</x:v>
      </x:c>
    </x:row>
    <x:row r="7">
      <x:c r="A7" t="str">
        <x:v>C000758</x:v>
      </x:c>
      <x:c r="B7" t="str">
        <x:v>Synthetic Customer 0758</x:v>
      </x:c>
      <x:c r="C7" t="str">
        <x:v>Leinster</x:v>
      </x:c>
      <x:c r="D7" t="str">
        <x:v>Affluent</x:v>
      </x:c>
      <x:c r="E7" s="13" t="n">
        <x:v>22000</x:v>
      </x:c>
      <x:c r="F7" t="n">
        <x:v>1</x:v>
      </x:c>
      <x:c r="G7" t="str">
        <x:v>L000758</x:v>
      </x:c>
      <x:c r="H7" s="13" t="n">
        <x:v>19847.37</x:v>
      </x:c>
      <x:c r="I7" s="14" t="n">
        <x:v>0.7423</x:v>
      </x:c>
      <x:c r="J7" t="n">
        <x:v>180</x:v>
      </x:c>
      <x:c r="K7" t="n">
        <x:v>3</x:v>
      </x:c>
      <x:c r="L7" s="14" t="n">
        <x:v>1.1469</x:v>
      </x:c>
      <x:c r="M7" s="15" t="n">
        <x:v>84.7</x:v>
      </x:c>
      <x:c r="N7" t="n">
        <x:v>3</x:v>
      </x:c>
      <x:c r="O7" t="str">
        <x:v>Critical</x:v>
      </x:c>
      <x:c r="P7" t="str">
        <x:f>XLOOKUP(O7,'Lookup &amp; Checks'!$A$2:$A$5,'Lookup &amp; Checks'!$B$2:$B$5,"Review")</x:f>
        <x:v>Specialist support and arrears review</x:v>
      </x:c>
    </x:row>
    <x:row r="8">
      <x:c r="A8" t="str">
        <x:v>C000980</x:v>
      </x:c>
      <x:c r="B8" t="str">
        <x:v>Synthetic Customer 0980</x:v>
      </x:c>
      <x:c r="C8" t="str">
        <x:v>Leinster</x:v>
      </x:c>
      <x:c r="D8" t="str">
        <x:v>Emerging Affluent</x:v>
      </x:c>
      <x:c r="E8" s="13" t="n">
        <x:v>32719.09</x:v>
      </x:c>
      <x:c r="F8" t="n">
        <x:v>0</x:v>
      </x:c>
      <x:c r="G8" t="str">
        <x:v>L000980</x:v>
      </x:c>
      <x:c r="H8" s="13" t="n">
        <x:v>15619.96</x:v>
      </x:c>
      <x:c r="I8" s="14" t="n">
        <x:v>0.7289</x:v>
      </x:c>
      <x:c r="J8" t="n">
        <x:v>120</x:v>
      </x:c>
      <x:c r="K8" t="n">
        <x:v>8</x:v>
      </x:c>
      <x:c r="L8" s="14" t="n">
        <x:v>0.95</x:v>
      </x:c>
      <x:c r="M8" s="15" t="n">
        <x:v>82.3</x:v>
      </x:c>
      <x:c r="N8" t="n">
        <x:v>4</x:v>
      </x:c>
      <x:c r="O8" t="str">
        <x:v>Critical</x:v>
      </x:c>
      <x:c r="P8" t="str">
        <x:f>XLOOKUP(O8,'Lookup &amp; Checks'!$A$2:$A$5,'Lookup &amp; Checks'!$B$2:$B$5,"Review")</x:f>
        <x:v>Specialist support and arrears review</x:v>
      </x:c>
    </x:row>
    <x:row r="9">
      <x:c r="A9" t="str">
        <x:v>C000252</x:v>
      </x:c>
      <x:c r="B9" t="str">
        <x:v>Synthetic Customer 0252</x:v>
      </x:c>
      <x:c r="C9" t="str">
        <x:v>Munster</x:v>
      </x:c>
      <x:c r="D9" t="str">
        <x:v>Mass Market</x:v>
      </x:c>
      <x:c r="E9" s="13" t="n">
        <x:v>69331.8</x:v>
      </x:c>
      <x:c r="F9" t="n">
        <x:v>1</x:v>
      </x:c>
      <x:c r="G9" t="str">
        <x:v>L000252</x:v>
      </x:c>
      <x:c r="H9" s="13" t="n">
        <x:v>21771.82</x:v>
      </x:c>
      <x:c r="I9" s="14" t="n">
        <x:v>0.99</x:v>
      </x:c>
      <x:c r="J9" t="n">
        <x:v>60</x:v>
      </x:c>
      <x:c r="K9" t="n">
        <x:v>2</x:v>
      </x:c>
      <x:c r="L9" s="14" t="n">
        <x:v>0.9463</x:v>
      </x:c>
      <x:c r="M9" s="15" t="n">
        <x:v>80.8</x:v>
      </x:c>
      <x:c r="N9" t="n">
        <x:v>5</x:v>
      </x:c>
      <x:c r="O9" t="str">
        <x:v>Critical</x:v>
      </x:c>
      <x:c r="P9" t="str">
        <x:f>XLOOKUP(O9,'Lookup &amp; Checks'!$A$2:$A$5,'Lookup &amp; Checks'!$B$2:$B$5,"Review")</x:f>
        <x:v>Specialist support and arrears review</x:v>
      </x:c>
    </x:row>
    <x:row r="10">
      <x:c r="A10" t="str">
        <x:v>C000362</x:v>
      </x:c>
      <x:c r="B10" t="str">
        <x:v>Synthetic Customer 0362</x:v>
      </x:c>
      <x:c r="C10" t="str">
        <x:v>Connacht</x:v>
      </x:c>
      <x:c r="D10" t="str">
        <x:v>Emerging Affluent</x:v>
      </x:c>
      <x:c r="E10" s="13" t="n">
        <x:v>55826.37</x:v>
      </x:c>
      <x:c r="F10" t="n">
        <x:v>0</x:v>
      </x:c>
      <x:c r="G10" t="str">
        <x:v>L000362</x:v>
      </x:c>
      <x:c r="H10" s="13" t="n">
        <x:v>8392.63</x:v>
      </x:c>
      <x:c r="I10" s="14" t="n">
        <x:v>0.792</x:v>
      </x:c>
      <x:c r="J10" t="n">
        <x:v>135</x:v>
      </x:c>
      <x:c r="K10" t="n">
        <x:v>3</x:v>
      </x:c>
      <x:c r="L10" s="14" t="n">
        <x:v>0.9253</x:v>
      </x:c>
      <x:c r="M10" s="15" t="n">
        <x:v>80.2</x:v>
      </x:c>
      <x:c r="N10" t="n">
        <x:v>6</x:v>
      </x:c>
      <x:c r="O10" t="str">
        <x:v>Critical</x:v>
      </x:c>
      <x:c r="P10" t="str">
        <x:f>XLOOKUP(O10,'Lookup &amp; Checks'!$A$2:$A$5,'Lookup &amp; Checks'!$B$2:$B$5,"Review")</x:f>
        <x:v>Specialist support and arrears review</x:v>
      </x:c>
    </x:row>
    <x:row r="11">
      <x:c r="A11" t="str">
        <x:v>C000619</x:v>
      </x:c>
      <x:c r="B11" t="str">
        <x:v>Synthetic Customer 0619</x:v>
      </x:c>
      <x:c r="C11" t="str">
        <x:v>Munster</x:v>
      </x:c>
      <x:c r="D11" t="str">
        <x:v>Affluent</x:v>
      </x:c>
      <x:c r="E11" s="13" t="n">
        <x:v>32739.64</x:v>
      </x:c>
      <x:c r="F11" t="n">
        <x:v>0</x:v>
      </x:c>
      <x:c r="G11" t="str">
        <x:v>L000619</x:v>
      </x:c>
      <x:c r="H11" s="13" t="n">
        <x:v>4643.01</x:v>
      </x:c>
      <x:c r="I11" s="14" t="n">
        <x:v>0.7573</x:v>
      </x:c>
      <x:c r="J11" t="n">
        <x:v>135</x:v>
      </x:c>
      <x:c r="K11" t="n">
        <x:v>3</x:v>
      </x:c>
      <x:c r="L11" s="14" t="n">
        <x:v>0.9467</x:v>
      </x:c>
      <x:c r="M11" s="15" t="n">
        <x:v>78.9</x:v>
      </x:c>
      <x:c r="N11" t="n">
        <x:v>7</x:v>
      </x:c>
      <x:c r="O11" t="str">
        <x:v>Critical</x:v>
      </x:c>
      <x:c r="P11" t="str">
        <x:f>XLOOKUP(O11,'Lookup &amp; Checks'!$A$2:$A$5,'Lookup &amp; Checks'!$B$2:$B$5,"Review")</x:f>
        <x:v>Specialist support and arrears review</x:v>
      </x:c>
    </x:row>
    <x:row r="12">
      <x:c r="A12" t="str">
        <x:v>C000944</x:v>
      </x:c>
      <x:c r="B12" t="str">
        <x:v>Synthetic Customer 0944</x:v>
      </x:c>
      <x:c r="C12" t="str">
        <x:v>Dublin</x:v>
      </x:c>
      <x:c r="D12" t="str">
        <x:v>Mass Market</x:v>
      </x:c>
      <x:c r="E12" s="13" t="n">
        <x:v>63085.48</x:v>
      </x:c>
      <x:c r="F12" t="n">
        <x:v>0</x:v>
      </x:c>
      <x:c r="G12" t="str">
        <x:v>L000944</x:v>
      </x:c>
      <x:c r="H12" s="13" t="n">
        <x:v>9934.41</x:v>
      </x:c>
      <x:c r="I12" s="14" t="n">
        <x:v>0.8088</x:v>
      </x:c>
      <x:c r="J12" t="n">
        <x:v>90</x:v>
      </x:c>
      <x:c r="K12" t="n">
        <x:v>2</x:v>
      </x:c>
      <x:c r="L12" s="14" t="n">
        <x:v>0.922</x:v>
      </x:c>
      <x:c r="M12" s="15" t="n">
        <x:v>76.4</x:v>
      </x:c>
      <x:c r="N12" t="n">
        <x:v>8</x:v>
      </x:c>
      <x:c r="O12" t="str">
        <x:v>Critical</x:v>
      </x:c>
      <x:c r="P12" t="str">
        <x:f>XLOOKUP(O12,'Lookup &amp; Checks'!$A$2:$A$5,'Lookup &amp; Checks'!$B$2:$B$5,"Review")</x:f>
        <x:v>Specialist support and arrears review</x:v>
      </x:c>
    </x:row>
    <x:row r="13">
      <x:c r="A13" t="str">
        <x:v>C000839</x:v>
      </x:c>
      <x:c r="B13" t="str">
        <x:v>Synthetic Customer 0839</x:v>
      </x:c>
      <x:c r="C13" t="str">
        <x:v>Leinster</x:v>
      </x:c>
      <x:c r="D13" t="str">
        <x:v>Emerging Affluent</x:v>
      </x:c>
      <x:c r="E13" s="13" t="n">
        <x:v>51359.91</x:v>
      </x:c>
      <x:c r="F13" t="n">
        <x:v>0</x:v>
      </x:c>
      <x:c r="G13" t="str">
        <x:v>L000839</x:v>
      </x:c>
      <x:c r="H13" s="13" t="n">
        <x:v>17898.51</x:v>
      </x:c>
      <x:c r="I13" s="14" t="n">
        <x:v>0.7986</x:v>
      </x:c>
      <x:c r="J13" t="n">
        <x:v>90</x:v>
      </x:c>
      <x:c r="K13" t="n">
        <x:v>2</x:v>
      </x:c>
      <x:c r="L13" s="14" t="n">
        <x:v>0.9644</x:v>
      </x:c>
      <x:c r="M13" s="15" t="n">
        <x:v>76.3</x:v>
      </x:c>
      <x:c r="N13" t="n">
        <x:v>9</x:v>
      </x:c>
      <x:c r="O13" t="str">
        <x:v>Critical</x:v>
      </x:c>
      <x:c r="P13" t="str">
        <x:f>XLOOKUP(O13,'Lookup &amp; Checks'!$A$2:$A$5,'Lookup &amp; Checks'!$B$2:$B$5,"Review")</x:f>
        <x:v>Specialist support and arrears review</x:v>
      </x:c>
    </x:row>
    <x:row r="14">
      <x:c r="A14" t="str">
        <x:v>C000851</x:v>
      </x:c>
      <x:c r="B14" t="str">
        <x:v>Synthetic Customer 0851</x:v>
      </x:c>
      <x:c r="C14" t="str">
        <x:v>Leinster</x:v>
      </x:c>
      <x:c r="D14" t="str">
        <x:v>Emerging Affluent</x:v>
      </x:c>
      <x:c r="E14" s="13" t="n">
        <x:v>44467.73</x:v>
      </x:c>
      <x:c r="F14" t="n">
        <x:v>1</x:v>
      </x:c>
      <x:c r="G14" t="str">
        <x:v>L000851</x:v>
      </x:c>
      <x:c r="H14" s="13" t="n">
        <x:v>9575.19</x:v>
      </x:c>
      <x:c r="I14" s="14" t="n">
        <x:v>0.6348</x:v>
      </x:c>
      <x:c r="J14" t="n">
        <x:v>120</x:v>
      </x:c>
      <x:c r="K14" t="n">
        <x:v>2</x:v>
      </x:c>
      <x:c r="L14" s="14" t="n">
        <x:v>1.0637</x:v>
      </x:c>
      <x:c r="M14" s="15" t="n">
        <x:v>75.3</x:v>
      </x:c>
      <x:c r="N14" t="n">
        <x:v>10</x:v>
      </x:c>
      <x:c r="O14" t="str">
        <x:v>Critical</x:v>
      </x:c>
      <x:c r="P14" t="str">
        <x:f>XLOOKUP(O14,'Lookup &amp; Checks'!$A$2:$A$5,'Lookup &amp; Checks'!$B$2:$B$5,"Review")</x:f>
        <x:v>Specialist support and arrears review</x:v>
      </x:c>
    </x:row>
    <x:row r="15">
      <x:c r="A15" t="str">
        <x:v>C000100</x:v>
      </x:c>
      <x:c r="B15" t="str">
        <x:v>Synthetic Customer 0100</x:v>
      </x:c>
      <x:c r="C15" t="str">
        <x:v>Connacht</x:v>
      </x:c>
      <x:c r="D15" t="str">
        <x:v>Mass Market</x:v>
      </x:c>
      <x:c r="E15" s="13" t="n">
        <x:v>29531.87</x:v>
      </x:c>
      <x:c r="F15" t="n">
        <x:v>0</x:v>
      </x:c>
      <x:c r="G15" t="str">
        <x:v>L000100</x:v>
      </x:c>
      <x:c r="H15" s="13" t="n">
        <x:v>1552.98</x:v>
      </x:c>
      <x:c r="I15" s="14" t="n">
        <x:v>0.7466</x:v>
      </x:c>
      <x:c r="J15" t="n">
        <x:v>90</x:v>
      </x:c>
      <x:c r="K15" t="n">
        <x:v>2</x:v>
      </x:c>
      <x:c r="L15" s="14" t="n">
        <x:v>0.9517</x:v>
      </x:c>
      <x:c r="M15" s="15" t="n">
        <x:v>74</x:v>
      </x:c>
      <x:c r="N15" t="n">
        <x:v>11</x:v>
      </x:c>
      <x:c r="O15" t="str">
        <x:v>High</x:v>
      </x:c>
      <x:c r="P15" t="str">
        <x:f>XLOOKUP(O15,'Lookup &amp; Checks'!$A$2:$A$5,'Lookup &amp; Checks'!$B$2:$B$5,"Review")</x:f>
        <x:v>Proactive affordability contact</x:v>
      </x:c>
    </x:row>
    <x:row r="16">
      <x:c r="A16" t="str">
        <x:v>C000280</x:v>
      </x:c>
      <x:c r="B16" t="str">
        <x:v>Synthetic Customer 0280</x:v>
      </x:c>
      <x:c r="C16" t="str">
        <x:v>Dublin</x:v>
      </x:c>
      <x:c r="D16" t="str">
        <x:v>Mass Market</x:v>
      </x:c>
      <x:c r="E16" s="13" t="n">
        <x:v>35802.64</x:v>
      </x:c>
      <x:c r="F16" t="n">
        <x:v>1</x:v>
      </x:c>
      <x:c r="G16" t="str">
        <x:v>L000280</x:v>
      </x:c>
      <x:c r="H16" s="13" t="n">
        <x:v>15452.18</x:v>
      </x:c>
      <x:c r="I16" s="14" t="n">
        <x:v>0.5935</x:v>
      </x:c>
      <x:c r="J16" t="n">
        <x:v>90</x:v>
      </x:c>
      <x:c r="K16" t="n">
        <x:v>2</x:v>
      </x:c>
      <x:c r="L16" s="14" t="n">
        <x:v>1.0625</x:v>
      </x:c>
      <x:c r="M16" s="15" t="n">
        <x:v>73.6</x:v>
      </x:c>
      <x:c r="N16" t="n">
        <x:v>12</x:v>
      </x:c>
      <x:c r="O16" t="str">
        <x:v>High</x:v>
      </x:c>
      <x:c r="P16" t="str">
        <x:f>XLOOKUP(O16,'Lookup &amp; Checks'!$A$2:$A$5,'Lookup &amp; Checks'!$B$2:$B$5,"Review")</x:f>
        <x:v>Proactive affordability contact</x:v>
      </x:c>
    </x:row>
    <x:row r="17">
      <x:c r="A17" t="str">
        <x:v>C000270</x:v>
      </x:c>
      <x:c r="B17" t="str">
        <x:v>Synthetic Customer 0270</x:v>
      </x:c>
      <x:c r="C17" t="str">
        <x:v>Leinster</x:v>
      </x:c>
      <x:c r="D17" t="str">
        <x:v>Mass Market</x:v>
      </x:c>
      <x:c r="E17" s="13" t="n">
        <x:v>43206.78</x:v>
      </x:c>
      <x:c r="F17" t="n">
        <x:v>0</x:v>
      </x:c>
      <x:c r="G17" t="str">
        <x:v>L000270</x:v>
      </x:c>
      <x:c r="H17" s="13" t="n">
        <x:v>3554.79</x:v>
      </x:c>
      <x:c r="I17" s="14" t="n">
        <x:v>0.6368</x:v>
      </x:c>
      <x:c r="J17" t="n">
        <x:v>135</x:v>
      </x:c>
      <x:c r="K17" t="n">
        <x:v>3</x:v>
      </x:c>
      <x:c r="L17" s="14" t="n">
        <x:v>0.8999</x:v>
      </x:c>
      <x:c r="M17" s="15" t="n">
        <x:v>73.4</x:v>
      </x:c>
      <x:c r="N17" t="n">
        <x:v>13</x:v>
      </x:c>
      <x:c r="O17" t="str">
        <x:v>High</x:v>
      </x:c>
      <x:c r="P17" t="str">
        <x:f>XLOOKUP(O17,'Lookup &amp; Checks'!$A$2:$A$5,'Lookup &amp; Checks'!$B$2:$B$5,"Review")</x:f>
        <x:v>Proactive affordability contact</x:v>
      </x:c>
    </x:row>
    <x:row r="18">
      <x:c r="A18" t="str">
        <x:v>C000130</x:v>
      </x:c>
      <x:c r="B18" t="str">
        <x:v>Synthetic Customer 0130</x:v>
      </x:c>
      <x:c r="C18" t="str">
        <x:v>Leinster</x:v>
      </x:c>
      <x:c r="D18" t="str">
        <x:v>Mass Market</x:v>
      </x:c>
      <x:c r="E18" s="13" t="n">
        <x:v>35365.55</x:v>
      </x:c>
      <x:c r="F18" t="n">
        <x:v>0</x:v>
      </x:c>
      <x:c r="G18" t="str">
        <x:v>L000130</x:v>
      </x:c>
      <x:c r="H18" s="13" t="n">
        <x:v>2048.23</x:v>
      </x:c>
      <x:c r="I18" s="14" t="n">
        <x:v>0.6241</x:v>
      </x:c>
      <x:c r="J18" t="n">
        <x:v>90</x:v>
      </x:c>
      <x:c r="K18" t="n">
        <x:v>3</x:v>
      </x:c>
      <x:c r="L18" s="14" t="n">
        <x:v>0.8548</x:v>
      </x:c>
      <x:c r="M18" s="15" t="n">
        <x:v>72.5</x:v>
      </x:c>
      <x:c r="N18" t="n">
        <x:v>14</x:v>
      </x:c>
      <x:c r="O18" t="str">
        <x:v>High</x:v>
      </x:c>
      <x:c r="P18" t="str">
        <x:f>XLOOKUP(O18,'Lookup &amp; Checks'!$A$2:$A$5,'Lookup &amp; Checks'!$B$2:$B$5,"Review")</x:f>
        <x:v>Proactive affordability contact</x:v>
      </x:c>
    </x:row>
    <x:row r="19">
      <x:c r="A19" t="str">
        <x:v>C000521</x:v>
      </x:c>
      <x:c r="B19" t="str">
        <x:v>Synthetic Customer 0521</x:v>
      </x:c>
      <x:c r="C19" t="str">
        <x:v>Connacht</x:v>
      </x:c>
      <x:c r="D19" t="str">
        <x:v>Mass Market</x:v>
      </x:c>
      <x:c r="E19" s="13" t="n">
        <x:v>61828.54</x:v>
      </x:c>
      <x:c r="F19" t="n">
        <x:v>0</x:v>
      </x:c>
      <x:c r="G19" t="str">
        <x:v>L000521</x:v>
      </x:c>
      <x:c r="H19" s="13" t="n">
        <x:v>12395.74</x:v>
      </x:c>
      <x:c r="I19" s="14" t="n">
        <x:v>0.7059</x:v>
      </x:c>
      <x:c r="J19" t="n">
        <x:v>120</x:v>
      </x:c>
      <x:c r="K19" t="n">
        <x:v>2</x:v>
      </x:c>
      <x:c r="L19" s="14" t="n">
        <x:v>0.9575</x:v>
      </x:c>
      <x:c r="M19" s="15" t="n">
        <x:v>72.4</x:v>
      </x:c>
      <x:c r="N19" t="n">
        <x:v>15</x:v>
      </x:c>
      <x:c r="O19" t="str">
        <x:v>High</x:v>
      </x:c>
      <x:c r="P19" t="str">
        <x:f>XLOOKUP(O19,'Lookup &amp; Checks'!$A$2:$A$5,'Lookup &amp; Checks'!$B$2:$B$5,"Review")</x:f>
        <x:v>Proactive affordability contact</x:v>
      </x:c>
    </x:row>
    <x:row r="20">
      <x:c r="A20" t="str">
        <x:v>C000227</x:v>
      </x:c>
      <x:c r="B20" t="str">
        <x:v>Synthetic Customer 0227</x:v>
      </x:c>
      <x:c r="C20" t="str">
        <x:v>Dublin</x:v>
      </x:c>
      <x:c r="D20" t="str">
        <x:v>Mass Market</x:v>
      </x:c>
      <x:c r="E20" s="13" t="n">
        <x:v>38837.21</x:v>
      </x:c>
      <x:c r="F20" t="n">
        <x:v>1</x:v>
      </x:c>
      <x:c r="G20" t="str">
        <x:v>L000227</x:v>
      </x:c>
      <x:c r="H20" s="13" t="n">
        <x:v>1367.61</x:v>
      </x:c>
      <x:c r="I20" s="14" t="n">
        <x:v>0.8633</x:v>
      </x:c>
      <x:c r="J20" t="n">
        <x:v>60</x:v>
      </x:c>
      <x:c r="K20" t="n">
        <x:v>1</x:v>
      </x:c>
      <x:c r="L20" s="14" t="n">
        <x:v>1.0768</x:v>
      </x:c>
      <x:c r="M20" s="15" t="n">
        <x:v>72.2</x:v>
      </x:c>
      <x:c r="N20" t="n">
        <x:v>16</x:v>
      </x:c>
      <x:c r="O20" t="str">
        <x:v>High</x:v>
      </x:c>
      <x:c r="P20" t="str">
        <x:f>XLOOKUP(O20,'Lookup &amp; Checks'!$A$2:$A$5,'Lookup &amp; Checks'!$B$2:$B$5,"Review")</x:f>
        <x:v>Proactive affordability contact</x:v>
      </x:c>
    </x:row>
    <x:row r="21">
      <x:c r="A21" t="str">
        <x:v>C000594</x:v>
      </x:c>
      <x:c r="B21" t="str">
        <x:v>Synthetic Customer 0594</x:v>
      </x:c>
      <x:c r="C21" t="str">
        <x:v>Munster</x:v>
      </x:c>
      <x:c r="D21" t="str">
        <x:v>Mass Market</x:v>
      </x:c>
      <x:c r="E21" s="13" t="n">
        <x:v>29809.44</x:v>
      </x:c>
      <x:c r="F21" t="n">
        <x:v>0</x:v>
      </x:c>
      <x:c r="G21" t="str">
        <x:v>L000594</x:v>
      </x:c>
      <x:c r="H21" s="13" t="n">
        <x:v>31779.53</x:v>
      </x:c>
      <x:c r="I21" s="14" t="n">
        <x:v>0.5991</x:v>
      </x:c>
      <x:c r="J21" t="n">
        <x:v>135</x:v>
      </x:c>
      <x:c r="K21" t="n">
        <x:v>3</x:v>
      </x:c>
      <x:c r="L21" s="14" t="n">
        <x:v>0.8938</x:v>
      </x:c>
      <x:c r="M21" s="15" t="n">
        <x:v>71.8</x:v>
      </x:c>
      <x:c r="N21" t="n">
        <x:v>17</x:v>
      </x:c>
      <x:c r="O21" t="str">
        <x:v>High</x:v>
      </x:c>
      <x:c r="P21" t="str">
        <x:f>XLOOKUP(O21,'Lookup &amp; Checks'!$A$2:$A$5,'Lookup &amp; Checks'!$B$2:$B$5,"Review")</x:f>
        <x:v>Proactive affordability contact</x:v>
      </x:c>
    </x:row>
    <x:row r="22">
      <x:c r="A22" t="str">
        <x:v>C000897</x:v>
      </x:c>
      <x:c r="B22" t="str">
        <x:v>Synthetic Customer 0897</x:v>
      </x:c>
      <x:c r="C22" t="str">
        <x:v>Munster</x:v>
      </x:c>
      <x:c r="D22" t="str">
        <x:v>Mass Market</x:v>
      </x:c>
      <x:c r="E22" s="13" t="n">
        <x:v>30967.8</x:v>
      </x:c>
      <x:c r="F22" t="n">
        <x:v>1</x:v>
      </x:c>
      <x:c r="G22" t="str">
        <x:v>L000897</x:v>
      </x:c>
      <x:c r="H22" s="13" t="n">
        <x:v>26735.61</x:v>
      </x:c>
      <x:c r="I22" s="14" t="n">
        <x:v>0.8536</x:v>
      </x:c>
      <x:c r="J22" t="n">
        <x:v>60</x:v>
      </x:c>
      <x:c r="K22" t="n">
        <x:v>1</x:v>
      </x:c>
      <x:c r="L22" s="14" t="n">
        <x:v>1.0181</x:v>
      </x:c>
      <x:c r="M22" s="15" t="n">
        <x:v>71.3</x:v>
      </x:c>
      <x:c r="N22" t="n">
        <x:v>18</x:v>
      </x:c>
      <x:c r="O22" t="str">
        <x:v>High</x:v>
      </x:c>
      <x:c r="P22" t="str">
        <x:f>XLOOKUP(O22,'Lookup &amp; Checks'!$A$2:$A$5,'Lookup &amp; Checks'!$B$2:$B$5,"Review")</x:f>
        <x:v>Proactive affordability contact</x:v>
      </x:c>
    </x:row>
    <x:row r="23">
      <x:c r="A23" t="str">
        <x:v>C000194</x:v>
      </x:c>
      <x:c r="B23" t="str">
        <x:v>Synthetic Customer 0194</x:v>
      </x:c>
      <x:c r="C23" t="str">
        <x:v>Connacht</x:v>
      </x:c>
      <x:c r="D23" t="str">
        <x:v>Mass Market</x:v>
      </x:c>
      <x:c r="E23" s="13" t="n">
        <x:v>34069.92</x:v>
      </x:c>
      <x:c r="F23" t="n">
        <x:v>1</x:v>
      </x:c>
      <x:c r="G23" t="str">
        <x:v>L000194</x:v>
      </x:c>
      <x:c r="H23" s="13" t="n">
        <x:v>6064.97</x:v>
      </x:c>
      <x:c r="I23" s="14" t="n">
        <x:v>0.5003</x:v>
      </x:c>
      <x:c r="J23" t="n">
        <x:v>120</x:v>
      </x:c>
      <x:c r="K23" t="n">
        <x:v>2</x:v>
      </x:c>
      <x:c r="L23" s="14" t="n">
        <x:v>1.1723</x:v>
      </x:c>
      <x:c r="M23" s="15" t="n">
        <x:v>70</x:v>
      </x:c>
      <x:c r="N23" t="n">
        <x:v>19</x:v>
      </x:c>
      <x:c r="O23" t="str">
        <x:v>High</x:v>
      </x:c>
      <x:c r="P23" t="str">
        <x:f>XLOOKUP(O23,'Lookup &amp; Checks'!$A$2:$A$5,'Lookup &amp; Checks'!$B$2:$B$5,"Review")</x:f>
        <x:v>Proactive affordability contact</x:v>
      </x:c>
    </x:row>
    <x:row r="24">
      <x:c r="A24" t="str">
        <x:v>C000614</x:v>
      </x:c>
      <x:c r="B24" t="str">
        <x:v>Synthetic Customer 0614</x:v>
      </x:c>
      <x:c r="C24" t="str">
        <x:v>Leinster</x:v>
      </x:c>
      <x:c r="D24" t="str">
        <x:v>Emerging Affluent</x:v>
      </x:c>
      <x:c r="E24" s="13" t="n">
        <x:v>50816.43</x:v>
      </x:c>
      <x:c r="F24" t="n">
        <x:v>1</x:v>
      </x:c>
      <x:c r="G24" t="str">
        <x:v>L000614</x:v>
      </x:c>
      <x:c r="H24" s="13" t="n">
        <x:v>21183.98</x:v>
      </x:c>
      <x:c r="I24" s="14" t="n">
        <x:v>0.505</x:v>
      </x:c>
      <x:c r="J24" t="n">
        <x:v>90</x:v>
      </x:c>
      <x:c r="K24" t="n">
        <x:v>2</x:v>
      </x:c>
      <x:c r="L24" s="14" t="n">
        <x:v>1.0483</x:v>
      </x:c>
      <x:c r="M24" s="15" t="n">
        <x:v>69.7</x:v>
      </x:c>
      <x:c r="N24" t="n">
        <x:v>20</x:v>
      </x:c>
      <x:c r="O24" t="str">
        <x:v>High</x:v>
      </x:c>
      <x:c r="P24" t="str">
        <x:f>XLOOKUP(O24,'Lookup &amp; Checks'!$A$2:$A$5,'Lookup &amp; Checks'!$B$2:$B$5,"Review")</x:f>
        <x:v>Proactive affordability contact</x:v>
      </x:c>
    </x:row>
    <x:row r="25">
      <x:c r="A25" t="str">
        <x:v>C000266</x:v>
      </x:c>
      <x:c r="B25" t="str">
        <x:v>Synthetic Customer 0266</x:v>
      </x:c>
      <x:c r="C25" t="str">
        <x:v>Leinster</x:v>
      </x:c>
      <x:c r="D25" t="str">
        <x:v>Affluent</x:v>
      </x:c>
      <x:c r="E25" s="13" t="n">
        <x:v>51116.07</x:v>
      </x:c>
      <x:c r="F25" t="n">
        <x:v>1</x:v>
      </x:c>
      <x:c r="G25" t="str">
        <x:v>L000266</x:v>
      </x:c>
      <x:c r="H25" s="13" t="n">
        <x:v>20017.41</x:v>
      </x:c>
      <x:c r="I25" s="14" t="n">
        <x:v>0.6693</x:v>
      </x:c>
      <x:c r="J25" t="n">
        <x:v>45</x:v>
      </x:c>
      <x:c r="K25" t="n">
        <x:v>3</x:v>
      </x:c>
      <x:c r="L25" s="14" t="n">
        <x:v>1.0318</x:v>
      </x:c>
      <x:c r="M25" s="15" t="n">
        <x:v>68.5</x:v>
      </x:c>
      <x:c r="N25" t="n">
        <x:v>21</x:v>
      </x:c>
      <x:c r="O25" t="str">
        <x:v>High</x:v>
      </x:c>
      <x:c r="P25" t="str">
        <x:f>XLOOKUP(O25,'Lookup &amp; Checks'!$A$2:$A$5,'Lookup &amp; Checks'!$B$2:$B$5,"Review")</x:f>
        <x:v>Proactive affordability contact</x:v>
      </x:c>
    </x:row>
    <x:row r="26">
      <x:c r="A26" t="str">
        <x:v>C000996</x:v>
      </x:c>
      <x:c r="B26" t="str">
        <x:v>Synthetic Customer 0996</x:v>
      </x:c>
      <x:c r="C26" t="str">
        <x:v>Connacht</x:v>
      </x:c>
      <x:c r="D26" t="str">
        <x:v>Mass Market</x:v>
      </x:c>
      <x:c r="E26" s="13" t="n">
        <x:v>25845.74</x:v>
      </x:c>
      <x:c r="F26" t="n">
        <x:v>0</x:v>
      </x:c>
      <x:c r="G26" t="str">
        <x:v>L000996</x:v>
      </x:c>
      <x:c r="H26" s="13" t="n">
        <x:v>28362.43</x:v>
      </x:c>
      <x:c r="I26" s="14" t="n">
        <x:v>0.5844</x:v>
      </x:c>
      <x:c r="J26" t="n">
        <x:v>120</x:v>
      </x:c>
      <x:c r="K26" t="n">
        <x:v>2</x:v>
      </x:c>
      <x:c r="L26" s="14" t="n">
        <x:v>0.9034</x:v>
      </x:c>
      <x:c r="M26" s="15" t="n">
        <x:v>66.8</x:v>
      </x:c>
      <x:c r="N26" t="n">
        <x:v>22</x:v>
      </x:c>
      <x:c r="O26" t="str">
        <x:v>High</x:v>
      </x:c>
      <x:c r="P26" t="str">
        <x:f>XLOOKUP(O26,'Lookup &amp; Checks'!$A$2:$A$5,'Lookup &amp; Checks'!$B$2:$B$5,"Review")</x:f>
        <x:v>Proactive affordability contact</x:v>
      </x:c>
    </x:row>
    <x:row r="27">
      <x:c r="A27" t="str">
        <x:v>C000774</x:v>
      </x:c>
      <x:c r="B27" t="str">
        <x:v>Synthetic Customer 0774</x:v>
      </x:c>
      <x:c r="C27" t="str">
        <x:v>Dublin</x:v>
      </x:c>
      <x:c r="D27" t="str">
        <x:v>Affluent</x:v>
      </x:c>
      <x:c r="E27" s="13" t="n">
        <x:v>41940.11</x:v>
      </x:c>
      <x:c r="F27" t="n">
        <x:v>0</x:v>
      </x:c>
      <x:c r="G27" t="str">
        <x:v>L000774</x:v>
      </x:c>
      <x:c r="H27" s="13" t="n">
        <x:v>643.55</x:v>
      </x:c>
      <x:c r="I27" s="14" t="n">
        <x:v>0.5795</x:v>
      </x:c>
      <x:c r="J27" t="n">
        <x:v>90</x:v>
      </x:c>
      <x:c r="K27" t="n">
        <x:v>2</x:v>
      </x:c>
      <x:c r="L27" s="14" t="n">
        <x:v>0.8945</x:v>
      </x:c>
      <x:c r="M27" s="15" t="n">
        <x:v>66.5</x:v>
      </x:c>
      <x:c r="N27" t="n">
        <x:v>23</x:v>
      </x:c>
      <x:c r="O27" t="str">
        <x:v>High</x:v>
      </x:c>
      <x:c r="P27" t="str">
        <x:f>XLOOKUP(O27,'Lookup &amp; Checks'!$A$2:$A$5,'Lookup &amp; Checks'!$B$2:$B$5,"Review")</x:f>
        <x:v>Proactive affordability contact</x:v>
      </x:c>
    </x:row>
    <x:row r="28">
      <x:c r="A28" t="str">
        <x:v>C000106</x:v>
      </x:c>
      <x:c r="B28" t="str">
        <x:v>Synthetic Customer 0106</x:v>
      </x:c>
      <x:c r="C28" t="str">
        <x:v>Ulster (ROI)</x:v>
      </x:c>
      <x:c r="D28" t="str">
        <x:v>Mass Market</x:v>
      </x:c>
      <x:c r="E28" s="13" t="n">
        <x:v>28275.66</x:v>
      </x:c>
      <x:c r="F28" t="n">
        <x:v>0</x:v>
      </x:c>
      <x:c r="G28" t="str">
        <x:v>L000106</x:v>
      </x:c>
      <x:c r="H28" s="13" t="n">
        <x:v>12406.31</x:v>
      </x:c>
      <x:c r="I28" s="14" t="n">
        <x:v>0.5549</x:v>
      </x:c>
      <x:c r="J28" t="n">
        <x:v>120</x:v>
      </x:c>
      <x:c r="K28" t="n">
        <x:v>2</x:v>
      </x:c>
      <x:c r="L28" s="14" t="n">
        <x:v>0.9204</x:v>
      </x:c>
      <x:c r="M28" s="15" t="n">
        <x:v>65.7</x:v>
      </x:c>
      <x:c r="N28" t="n">
        <x:v>24</x:v>
      </x:c>
      <x:c r="O28" t="str">
        <x:v>High</x:v>
      </x:c>
      <x:c r="P28" t="str">
        <x:f>XLOOKUP(O28,'Lookup &amp; Checks'!$A$2:$A$5,'Lookup &amp; Checks'!$B$2:$B$5,"Review")</x:f>
        <x:v>Proactive affordability contact</x:v>
      </x:c>
    </x:row>
    <x:row r="29">
      <x:c r="A29" t="str">
        <x:v>C000014</x:v>
      </x:c>
      <x:c r="B29" t="str">
        <x:v>Synthetic Customer 0014</x:v>
      </x:c>
      <x:c r="C29" t="str">
        <x:v>Munster</x:v>
      </x:c>
      <x:c r="D29" t="str">
        <x:v>Emerging Affluent</x:v>
      </x:c>
      <x:c r="E29" s="13" t="n">
        <x:v>22000</x:v>
      </x:c>
      <x:c r="F29" t="n">
        <x:v>0</x:v>
      </x:c>
      <x:c r="G29" t="str">
        <x:v>L000014</x:v>
      </x:c>
      <x:c r="H29" s="13" t="n">
        <x:v>18041.67</x:v>
      </x:c>
      <x:c r="I29" s="14" t="n">
        <x:v>0.4352</x:v>
      </x:c>
      <x:c r="J29" t="n">
        <x:v>180</x:v>
      </x:c>
      <x:c r="K29" t="n">
        <x:v>3</x:v>
      </x:c>
      <x:c r="L29" s="14" t="n">
        <x:v>0.9592</x:v>
      </x:c>
      <x:c r="M29" s="15" t="n">
        <x:v>65.5</x:v>
      </x:c>
      <x:c r="N29" t="n">
        <x:v>25</x:v>
      </x:c>
      <x:c r="O29" t="str">
        <x:v>High</x:v>
      </x:c>
      <x:c r="P29" t="str">
        <x:f>XLOOKUP(O29,'Lookup &amp; Checks'!$A$2:$A$5,'Lookup &amp; Checks'!$B$2:$B$5,"Review")</x:f>
        <x:v>Proactive affordability contact</x:v>
      </x:c>
    </x:row>
    <x:row r="30">
      <x:c r="A30" t="str">
        <x:v>C000498</x:v>
      </x:c>
      <x:c r="B30" t="str">
        <x:v>Synthetic Customer 0498</x:v>
      </x:c>
      <x:c r="C30" t="str">
        <x:v>Dublin</x:v>
      </x:c>
      <x:c r="D30" t="str">
        <x:v>Mass Market</x:v>
      </x:c>
      <x:c r="E30" s="13" t="n">
        <x:v>48806.42</x:v>
      </x:c>
      <x:c r="F30" t="n">
        <x:v>0</x:v>
      </x:c>
      <x:c r="G30" t="str">
        <x:v>L000498</x:v>
      </x:c>
      <x:c r="H30" s="13" t="n">
        <x:v>22744.46</x:v>
      </x:c>
      <x:c r="I30" s="14" t="n">
        <x:v>0.8793</x:v>
      </x:c>
      <x:c r="J30" t="n">
        <x:v>60</x:v>
      </x:c>
      <x:c r="K30" t="n">
        <x:v>1</x:v>
      </x:c>
      <x:c r="L30" s="14" t="n">
        <x:v>0.8042</x:v>
      </x:c>
      <x:c r="M30" s="15" t="n">
        <x:v>65.4</x:v>
      </x:c>
      <x:c r="N30" t="n">
        <x:v>26</x:v>
      </x:c>
      <x:c r="O30" t="str">
        <x:v>High</x:v>
      </x:c>
      <x:c r="P30" t="str">
        <x:f>XLOOKUP(O30,'Lookup &amp; Checks'!$A$2:$A$5,'Lookup &amp; Checks'!$B$2:$B$5,"Review")</x:f>
        <x:v>Proactive affordability contact</x:v>
      </x:c>
    </x:row>
    <x:row r="31">
      <x:c r="A31" t="str">
        <x:v>C000772</x:v>
      </x:c>
      <x:c r="B31" t="str">
        <x:v>Synthetic Customer 0772</x:v>
      </x:c>
      <x:c r="C31" t="str">
        <x:v>Leinster</x:v>
      </x:c>
      <x:c r="D31" t="str">
        <x:v>Mass Market</x:v>
      </x:c>
      <x:c r="E31" s="13" t="n">
        <x:v>89306.01</x:v>
      </x:c>
      <x:c r="F31" t="n">
        <x:v>0</x:v>
      </x:c>
      <x:c r="G31" t="str">
        <x:v>L000772</x:v>
      </x:c>
      <x:c r="H31" s="13" t="n">
        <x:v>12999.47</x:v>
      </x:c>
      <x:c r="I31" s="14" t="n">
        <x:v>0.5402</x:v>
      </x:c>
      <x:c r="J31" t="n">
        <x:v>120</x:v>
      </x:c>
      <x:c r="K31" t="n">
        <x:v>2</x:v>
      </x:c>
      <x:c r="L31" s="14" t="n">
        <x:v>0.9309</x:v>
      </x:c>
      <x:c r="M31" s="15" t="n">
        <x:v>65.2</x:v>
      </x:c>
      <x:c r="N31" t="n">
        <x:v>27</x:v>
      </x:c>
      <x:c r="O31" t="str">
        <x:v>High</x:v>
      </x:c>
      <x:c r="P31" t="str">
        <x:f>XLOOKUP(O31,'Lookup &amp; Checks'!$A$2:$A$5,'Lookup &amp; Checks'!$B$2:$B$5,"Review")</x:f>
        <x:v>Proactive affordability contact</x:v>
      </x:c>
    </x:row>
    <x:row r="32">
      <x:c r="A32" t="str">
        <x:v>C000703</x:v>
      </x:c>
      <x:c r="B32" t="str">
        <x:v>Synthetic Customer 0703</x:v>
      </x:c>
      <x:c r="C32" t="str">
        <x:v>Munster</x:v>
      </x:c>
      <x:c r="D32" t="str">
        <x:v>Emerging Affluent</x:v>
      </x:c>
      <x:c r="E32" s="13" t="n">
        <x:v>29519.7</x:v>
      </x:c>
      <x:c r="F32" t="n">
        <x:v>0</x:v>
      </x:c>
      <x:c r="G32" t="str">
        <x:v>L000703</x:v>
      </x:c>
      <x:c r="H32" s="13" t="n">
        <x:v>18002.58</x:v>
      </x:c>
      <x:c r="I32" s="14" t="n">
        <x:v>0.4371</x:v>
      </x:c>
      <x:c r="J32" t="n">
        <x:v>90</x:v>
      </x:c>
      <x:c r="K32" t="n">
        <x:v>3</x:v>
      </x:c>
      <x:c r="L32" s="14" t="n">
        <x:v>0.8814</x:v>
      </x:c>
      <x:c r="M32" s="15" t="n">
        <x:v>64.9</x:v>
      </x:c>
      <x:c r="N32" t="n">
        <x:v>28</x:v>
      </x:c>
      <x:c r="O32" t="str">
        <x:v>High</x:v>
      </x:c>
      <x:c r="P32" t="str">
        <x:f>XLOOKUP(O32,'Lookup &amp; Checks'!$A$2:$A$5,'Lookup &amp; Checks'!$B$2:$B$5,"Review")</x:f>
        <x:v>Proactive affordability contact</x:v>
      </x:c>
    </x:row>
    <x:row r="33">
      <x:c r="A33" t="str">
        <x:v>C000766</x:v>
      </x:c>
      <x:c r="B33" t="str">
        <x:v>Synthetic Customer 0766</x:v>
      </x:c>
      <x:c r="C33" t="str">
        <x:v>Leinster</x:v>
      </x:c>
      <x:c r="D33" t="str">
        <x:v>Mass Market</x:v>
      </x:c>
      <x:c r="E33" s="13" t="n">
        <x:v>36868.81</x:v>
      </x:c>
      <x:c r="F33" t="n">
        <x:v>0</x:v>
      </x:c>
      <x:c r="G33" t="str">
        <x:v>L000766</x:v>
      </x:c>
      <x:c r="H33" s="13" t="n">
        <x:v>22165.53</x:v>
      </x:c>
      <x:c r="I33" s="14" t="n">
        <x:v>0.3034</x:v>
      </x:c>
      <x:c r="J33" t="n">
        <x:v>225</x:v>
      </x:c>
      <x:c r="K33" t="n">
        <x:v>5</x:v>
      </x:c>
      <x:c r="L33" s="14" t="n">
        <x:v>0.979</x:v>
      </x:c>
      <x:c r="M33" s="15" t="n">
        <x:v>64.6</x:v>
      </x:c>
      <x:c r="N33" t="n">
        <x:v>29</x:v>
      </x:c>
      <x:c r="O33" t="str">
        <x:v>High</x:v>
      </x:c>
      <x:c r="P33" t="str">
        <x:f>XLOOKUP(O33,'Lookup &amp; Checks'!$A$2:$A$5,'Lookup &amp; Checks'!$B$2:$B$5,"Review")</x:f>
        <x:v>Proactive affordability contact</x:v>
      </x:c>
    </x:row>
    <x:row r="34">
      <x:c r="A34" t="str">
        <x:v>C000581</x:v>
      </x:c>
      <x:c r="B34" t="str">
        <x:v>Synthetic Customer 0581</x:v>
      </x:c>
      <x:c r="C34" t="str">
        <x:v>Ulster (ROI)</x:v>
      </x:c>
      <x:c r="D34" t="str">
        <x:v>Mass Market</x:v>
      </x:c>
      <x:c r="E34" s="13" t="n">
        <x:v>29573.52</x:v>
      </x:c>
      <x:c r="F34" t="n">
        <x:v>0</x:v>
      </x:c>
      <x:c r="G34" t="str">
        <x:v>L000581</x:v>
      </x:c>
      <x:c r="H34" s="13" t="n">
        <x:v>15845.01</x:v>
      </x:c>
      <x:c r="I34" s="14" t="n">
        <x:v>0.5222</x:v>
      </x:c>
      <x:c r="J34" t="n">
        <x:v>90</x:v>
      </x:c>
      <x:c r="K34" t="n">
        <x:v>2</x:v>
      </x:c>
      <x:c r="L34" s="14" t="n">
        <x:v>0.9177</x:v>
      </x:c>
      <x:c r="M34" s="15" t="n">
        <x:v>64.3</x:v>
      </x:c>
      <x:c r="N34" t="n">
        <x:v>30</x:v>
      </x:c>
      <x:c r="O34" t="str">
        <x:v>High</x:v>
      </x:c>
      <x:c r="P34" t="str">
        <x:f>XLOOKUP(O34,'Lookup &amp; Checks'!$A$2:$A$5,'Lookup &amp; Checks'!$B$2:$B$5,"Review")</x:f>
        <x:v>Proactive affordability contact</x:v>
      </x:c>
    </x:row>
    <x:row r="35">
      <x:c r="A35" t="str">
        <x:v>C000911</x:v>
      </x:c>
      <x:c r="B35" t="str">
        <x:v>Synthetic Customer 0911</x:v>
      </x:c>
      <x:c r="C35" t="str">
        <x:v>Dublin</x:v>
      </x:c>
      <x:c r="D35" t="str">
        <x:v>Emerging Affluent</x:v>
      </x:c>
      <x:c r="E35" s="13" t="n">
        <x:v>23906.76</x:v>
      </x:c>
      <x:c r="F35" t="n">
        <x:v>1</x:v>
      </x:c>
      <x:c r="G35" t="str">
        <x:v>L000911</x:v>
      </x:c>
      <x:c r="H35" s="13" t="n">
        <x:v>28002.82</x:v>
      </x:c>
      <x:c r="I35" s="14" t="n">
        <x:v>0.3662</x:v>
      </x:c>
      <x:c r="J35" t="n">
        <x:v>120</x:v>
      </x:c>
      <x:c r="K35" t="n">
        <x:v>2</x:v>
      </x:c>
      <x:c r="L35" s="14" t="n">
        <x:v>1.0853</x:v>
      </x:c>
      <x:c r="M35" s="15" t="n">
        <x:v>64.2</x:v>
      </x:c>
      <x:c r="N35" t="n">
        <x:v>31</x:v>
      </x:c>
      <x:c r="O35" t="str">
        <x:v>High</x:v>
      </x:c>
      <x:c r="P35" t="str">
        <x:f>XLOOKUP(O35,'Lookup &amp; Checks'!$A$2:$A$5,'Lookup &amp; Checks'!$B$2:$B$5,"Review")</x:f>
        <x:v>Proactive affordability contact</x:v>
      </x:c>
    </x:row>
    <x:row r="36">
      <x:c r="A36" t="str">
        <x:v>C000577</x:v>
      </x:c>
      <x:c r="B36" t="str">
        <x:v>Synthetic Customer 0577</x:v>
      </x:c>
      <x:c r="C36" t="str">
        <x:v>Dublin</x:v>
      </x:c>
      <x:c r="D36" t="str">
        <x:v>Emerging Affluent</x:v>
      </x:c>
      <x:c r="E36" s="13" t="n">
        <x:v>41596.84</x:v>
      </x:c>
      <x:c r="F36" t="n">
        <x:v>0</x:v>
      </x:c>
      <x:c r="G36" t="str">
        <x:v>L000577</x:v>
      </x:c>
      <x:c r="H36" s="13" t="n">
        <x:v>13933.92</x:v>
      </x:c>
      <x:c r="I36" s="14" t="n">
        <x:v>0.8203</x:v>
      </x:c>
      <x:c r="J36" t="n">
        <x:v>60</x:v>
      </x:c>
      <x:c r="K36" t="n">
        <x:v>1</x:v>
      </x:c>
      <x:c r="L36" s="14" t="n">
        <x:v>0.8661</x:v>
      </x:c>
      <x:c r="M36" s="15" t="n">
        <x:v>63.5</x:v>
      </x:c>
      <x:c r="N36" t="n">
        <x:v>32</x:v>
      </x:c>
      <x:c r="O36" t="str">
        <x:v>High</x:v>
      </x:c>
      <x:c r="P36" t="str">
        <x:f>XLOOKUP(O36,'Lookup &amp; Checks'!$A$2:$A$5,'Lookup &amp; Checks'!$B$2:$B$5,"Review")</x:f>
        <x:v>Proactive affordability contact</x:v>
      </x:c>
    </x:row>
    <x:row r="37">
      <x:c r="A37" t="str">
        <x:v>C000486</x:v>
      </x:c>
      <x:c r="B37" t="str">
        <x:v>Synthetic Customer 0486</x:v>
      </x:c>
      <x:c r="C37" t="str">
        <x:v>Dublin</x:v>
      </x:c>
      <x:c r="D37" t="str">
        <x:v>Mass Market</x:v>
      </x:c>
      <x:c r="E37" s="13" t="n">
        <x:v>52823.74</x:v>
      </x:c>
      <x:c r="F37" t="n">
        <x:v>0</x:v>
      </x:c>
      <x:c r="G37" t="str">
        <x:v>L000486</x:v>
      </x:c>
      <x:c r="H37" s="13" t="n">
        <x:v>3784.11</x:v>
      </x:c>
      <x:c r="I37" s="14" t="n">
        <x:v>0.5091</x:v>
      </x:c>
      <x:c r="J37" t="n">
        <x:v>120</x:v>
      </x:c>
      <x:c r="K37" t="n">
        <x:v>2</x:v>
      </x:c>
      <x:c r="L37" s="14" t="n">
        <x:v>0.89</x:v>
      </x:c>
      <x:c r="M37" s="15" t="n">
        <x:v>63.5</x:v>
      </x:c>
      <x:c r="N37" t="n">
        <x:v>33</x:v>
      </x:c>
      <x:c r="O37" t="str">
        <x:v>High</x:v>
      </x:c>
      <x:c r="P37" t="str">
        <x:f>XLOOKUP(O37,'Lookup &amp; Checks'!$A$2:$A$5,'Lookup &amp; Checks'!$B$2:$B$5,"Review")</x:f>
        <x:v>Proactive affordability contact</x:v>
      </x:c>
    </x:row>
    <x:row r="38">
      <x:c r="A38" t="str">
        <x:v>C000632</x:v>
      </x:c>
      <x:c r="B38" t="str">
        <x:v>Synthetic Customer 0632</x:v>
      </x:c>
      <x:c r="C38" t="str">
        <x:v>Dublin</x:v>
      </x:c>
      <x:c r="D38" t="str">
        <x:v>Mass Market</x:v>
      </x:c>
      <x:c r="E38" s="13" t="n">
        <x:v>41461.58</x:v>
      </x:c>
      <x:c r="F38" t="n">
        <x:v>0</x:v>
      </x:c>
      <x:c r="G38" t="str">
        <x:v>L000632</x:v>
      </x:c>
      <x:c r="H38" s="13" t="n">
        <x:v>3475.22</x:v>
      </x:c>
      <x:c r="I38" s="14" t="n">
        <x:v>0.5099</x:v>
      </x:c>
      <x:c r="J38" t="n">
        <x:v>90</x:v>
      </x:c>
      <x:c r="K38" t="n">
        <x:v>2</x:v>
      </x:c>
      <x:c r="L38" s="14" t="n">
        <x:v>0.8764</x:v>
      </x:c>
      <x:c r="M38" s="15" t="n">
        <x:v>63.4</x:v>
      </x:c>
      <x:c r="N38" t="n">
        <x:v>34</x:v>
      </x:c>
      <x:c r="O38" t="str">
        <x:v>High</x:v>
      </x:c>
      <x:c r="P38" t="str">
        <x:f>XLOOKUP(O38,'Lookup &amp; Checks'!$A$2:$A$5,'Lookup &amp; Checks'!$B$2:$B$5,"Review")</x:f>
        <x:v>Proactive affordability contact</x:v>
      </x:c>
    </x:row>
    <x:row r="39">
      <x:c r="A39" t="str">
        <x:v>C000072</x:v>
      </x:c>
      <x:c r="B39" t="str">
        <x:v>Synthetic Customer 0072</x:v>
      </x:c>
      <x:c r="C39" t="str">
        <x:v>Munster</x:v>
      </x:c>
      <x:c r="D39" t="str">
        <x:v>Mass Market</x:v>
      </x:c>
      <x:c r="E39" s="13" t="n">
        <x:v>69126.52</x:v>
      </x:c>
      <x:c r="F39" t="n">
        <x:v>0</x:v>
      </x:c>
      <x:c r="G39" t="str">
        <x:v>L000072</x:v>
      </x:c>
      <x:c r="H39" s="13" t="n">
        <x:v>8536.63</x:v>
      </x:c>
      <x:c r="I39" s="14" t="n">
        <x:v>0.7873</x:v>
      </x:c>
      <x:c r="J39" t="n">
        <x:v>60</x:v>
      </x:c>
      <x:c r="K39" t="n">
        <x:v>1</x:v>
      </x:c>
      <x:c r="L39" s="14" t="n">
        <x:v>0.9611</x:v>
      </x:c>
      <x:c r="M39" s="15" t="n">
        <x:v>63</x:v>
      </x:c>
      <x:c r="N39" t="n">
        <x:v>35</x:v>
      </x:c>
      <x:c r="O39" t="str">
        <x:v>High</x:v>
      </x:c>
      <x:c r="P39" t="str">
        <x:f>XLOOKUP(O39,'Lookup &amp; Checks'!$A$2:$A$5,'Lookup &amp; Checks'!$B$2:$B$5,"Review")</x:f>
        <x:v>Proactive affordability contact</x:v>
      </x:c>
    </x:row>
    <x:row r="40">
      <x:c r="A40" t="str">
        <x:v>C000578</x:v>
      </x:c>
      <x:c r="B40" t="str">
        <x:v>Synthetic Customer 0578</x:v>
      </x:c>
      <x:c r="C40" t="str">
        <x:v>Dublin</x:v>
      </x:c>
      <x:c r="D40" t="str">
        <x:v>Mass Market</x:v>
      </x:c>
      <x:c r="E40" s="13" t="n">
        <x:v>63105.38</x:v>
      </x:c>
      <x:c r="F40" t="n">
        <x:v>1</x:v>
      </x:c>
      <x:c r="G40" t="str">
        <x:v>L000578</x:v>
      </x:c>
      <x:c r="H40" s="13" t="n">
        <x:v>30978.52</x:v>
      </x:c>
      <x:c r="I40" s="14" t="n">
        <x:v>0.7409</x:v>
      </x:c>
      <x:c r="J40" t="n">
        <x:v>45</x:v>
      </x:c>
      <x:c r="K40" t="n">
        <x:v>1</x:v>
      </x:c>
      <x:c r="L40" s="14" t="n">
        <x:v>1.0256</x:v>
      </x:c>
      <x:c r="M40" s="15" t="n">
        <x:v>62.4</x:v>
      </x:c>
      <x:c r="N40" t="n">
        <x:v>36</x:v>
      </x:c>
      <x:c r="O40" t="str">
        <x:v>High</x:v>
      </x:c>
      <x:c r="P40" t="str">
        <x:f>XLOOKUP(O40,'Lookup &amp; Checks'!$A$2:$A$5,'Lookup &amp; Checks'!$B$2:$B$5,"Review")</x:f>
        <x:v>Proactive affordability contact</x:v>
      </x:c>
    </x:row>
    <x:row r="41">
      <x:c r="A41" t="str">
        <x:v>C000290</x:v>
      </x:c>
      <x:c r="B41" t="str">
        <x:v>Synthetic Customer 0290</x:v>
      </x:c>
      <x:c r="C41" t="str">
        <x:v>Ulster (ROI)</x:v>
      </x:c>
      <x:c r="D41" t="str">
        <x:v>Mass Market</x:v>
      </x:c>
      <x:c r="E41" s="13" t="n">
        <x:v>43917.8</x:v>
      </x:c>
      <x:c r="F41" t="n">
        <x:v>0</x:v>
      </x:c>
      <x:c r="G41" t="str">
        <x:v>L000290</x:v>
      </x:c>
      <x:c r="H41" s="13" t="n">
        <x:v>6328.49</x:v>
      </x:c>
      <x:c r="I41" s="14" t="n">
        <x:v>0.8515</x:v>
      </x:c>
      <x:c r="J41" t="n">
        <x:v>30</x:v>
      </x:c>
      <x:c r="K41" t="n">
        <x:v>2</x:v>
      </x:c>
      <x:c r="L41" s="14" t="n">
        <x:v>0.9995</x:v>
      </x:c>
      <x:c r="M41" s="15" t="n">
        <x:v>62.2</x:v>
      </x:c>
      <x:c r="N41" t="n">
        <x:v>37</x:v>
      </x:c>
      <x:c r="O41" t="str">
        <x:v>High</x:v>
      </x:c>
      <x:c r="P41" t="str">
        <x:f>XLOOKUP(O41,'Lookup &amp; Checks'!$A$2:$A$5,'Lookup &amp; Checks'!$B$2:$B$5,"Review")</x:f>
        <x:v>Proactive affordability contact</x:v>
      </x:c>
    </x:row>
    <x:row r="42">
      <x:c r="A42" t="str">
        <x:v>C000666</x:v>
      </x:c>
      <x:c r="B42" t="str">
        <x:v>Synthetic Customer 0666</x:v>
      </x:c>
      <x:c r="C42" t="str">
        <x:v>Munster</x:v>
      </x:c>
      <x:c r="D42" t="str">
        <x:v>Emerging Affluent</x:v>
      </x:c>
      <x:c r="E42" s="13" t="n">
        <x:v>22000</x:v>
      </x:c>
      <x:c r="F42" t="n">
        <x:v>0</x:v>
      </x:c>
      <x:c r="G42" t="str">
        <x:v>L000666</x:v>
      </x:c>
      <x:c r="H42" s="13" t="n">
        <x:v>16491.25</x:v>
      </x:c>
      <x:c r="I42" s="14" t="n">
        <x:v>0.7745</x:v>
      </x:c>
      <x:c r="J42" t="n">
        <x:v>60</x:v>
      </x:c>
      <x:c r="K42" t="n">
        <x:v>1</x:v>
      </x:c>
      <x:c r="L42" s="14" t="n">
        <x:v>0.8971</x:v>
      </x:c>
      <x:c r="M42" s="15" t="n">
        <x:v>61.9</x:v>
      </x:c>
      <x:c r="N42" t="n">
        <x:v>38</x:v>
      </x:c>
      <x:c r="O42" t="str">
        <x:v>High</x:v>
      </x:c>
      <x:c r="P42" t="str">
        <x:f>XLOOKUP(O42,'Lookup &amp; Checks'!$A$2:$A$5,'Lookup &amp; Checks'!$B$2:$B$5,"Review")</x:f>
        <x:v>Proactive affordability contact</x:v>
      </x:c>
    </x:row>
    <x:row r="43">
      <x:c r="A43" t="str">
        <x:v>C000624</x:v>
      </x:c>
      <x:c r="B43" t="str">
        <x:v>Synthetic Customer 0624</x:v>
      </x:c>
      <x:c r="C43" t="str">
        <x:v>Dublin</x:v>
      </x:c>
      <x:c r="D43" t="str">
        <x:v>Mass Market</x:v>
      </x:c>
      <x:c r="E43" s="13" t="n">
        <x:v>31225.39</x:v>
      </x:c>
      <x:c r="F43" t="n">
        <x:v>0</x:v>
      </x:c>
      <x:c r="G43" t="str">
        <x:v>L000624</x:v>
      </x:c>
      <x:c r="H43" s="13" t="n">
        <x:v>26320.66</x:v>
      </x:c>
      <x:c r="I43" s="14" t="n">
        <x:v>0.7581</x:v>
      </x:c>
      <x:c r="J43" t="n">
        <x:v>60</x:v>
      </x:c>
      <x:c r="K43" t="n">
        <x:v>1</x:v>
      </x:c>
      <x:c r="L43" s="14" t="n">
        <x:v>0.965</x:v>
      </x:c>
      <x:c r="M43" s="15" t="n">
        <x:v>61.8</x:v>
      </x:c>
      <x:c r="N43" t="n">
        <x:v>39</x:v>
      </x:c>
      <x:c r="O43" t="str">
        <x:v>High</x:v>
      </x:c>
      <x:c r="P43" t="str">
        <x:f>XLOOKUP(O43,'Lookup &amp; Checks'!$A$2:$A$5,'Lookup &amp; Checks'!$B$2:$B$5,"Review")</x:f>
        <x:v>Proactive affordability contact</x:v>
      </x:c>
    </x:row>
    <x:row r="44">
      <x:c r="A44" t="str">
        <x:v>C000039</x:v>
      </x:c>
      <x:c r="B44" t="str">
        <x:v>Synthetic Customer 0039</x:v>
      </x:c>
      <x:c r="C44" t="str">
        <x:v>Dublin</x:v>
      </x:c>
      <x:c r="D44" t="str">
        <x:v>Mass Market</x:v>
      </x:c>
      <x:c r="E44" s="13" t="n">
        <x:v>49559.51</x:v>
      </x:c>
      <x:c r="F44" t="n">
        <x:v>0</x:v>
      </x:c>
      <x:c r="G44" t="str">
        <x:v>L000039</x:v>
      </x:c>
      <x:c r="H44" s="13" t="n">
        <x:v>27942.9</x:v>
      </x:c>
      <x:c r="I44" s="14" t="n">
        <x:v>0.4523</x:v>
      </x:c>
      <x:c r="J44" t="n">
        <x:v>120</x:v>
      </x:c>
      <x:c r="K44" t="n">
        <x:v>2</x:v>
      </x:c>
      <x:c r="L44" s="14" t="n">
        <x:v>0.9337</x:v>
      </x:c>
      <x:c r="M44" s="15" t="n">
        <x:v>61.5</x:v>
      </x:c>
      <x:c r="N44" t="n">
        <x:v>40</x:v>
      </x:c>
      <x:c r="O44" t="str">
        <x:v>High</x:v>
      </x:c>
      <x:c r="P44" t="str">
        <x:f>XLOOKUP(O44,'Lookup &amp; Checks'!$A$2:$A$5,'Lookup &amp; Checks'!$B$2:$B$5,"Review")</x:f>
        <x:v>Proactive affordability contact</x:v>
      </x:c>
    </x:row>
    <x:row r="45">
      <x:c r="A45" t="str">
        <x:v>C000509</x:v>
      </x:c>
      <x:c r="B45" t="str">
        <x:v>Synthetic Customer 0509</x:v>
      </x:c>
      <x:c r="C45" t="str">
        <x:v>Leinster</x:v>
      </x:c>
      <x:c r="D45" t="str">
        <x:v>Mass Market</x:v>
      </x:c>
      <x:c r="E45" s="13" t="n">
        <x:v>32629.41</x:v>
      </x:c>
      <x:c r="F45" t="n">
        <x:v>0</x:v>
      </x:c>
      <x:c r="G45" t="str">
        <x:v>L000509</x:v>
      </x:c>
      <x:c r="H45" s="13" t="n">
        <x:v>12128.68</x:v>
      </x:c>
      <x:c r="I45" s="14" t="n">
        <x:v>0.6502</x:v>
      </x:c>
      <x:c r="J45" t="n">
        <x:v>60</x:v>
      </x:c>
      <x:c r="K45" t="n">
        <x:v>2</x:v>
      </x:c>
      <x:c r="L45" s="14" t="n">
        <x:v>0.9406</x:v>
      </x:c>
      <x:c r="M45" s="15" t="n">
        <x:v>61.5</x:v>
      </x:c>
      <x:c r="N45" t="n">
        <x:v>41</x:v>
      </x:c>
      <x:c r="O45" t="str">
        <x:v>High</x:v>
      </x:c>
      <x:c r="P45" t="str">
        <x:f>XLOOKUP(O45,'Lookup &amp; Checks'!$A$2:$A$5,'Lookup &amp; Checks'!$B$2:$B$5,"Review")</x:f>
        <x:v>Proactive affordability contact</x:v>
      </x:c>
    </x:row>
    <x:row r="46">
      <x:c r="A46" t="str">
        <x:v>C000108</x:v>
      </x:c>
      <x:c r="B46" t="str">
        <x:v>Synthetic Customer 0108</x:v>
      </x:c>
      <x:c r="C46" t="str">
        <x:v>Dublin</x:v>
      </x:c>
      <x:c r="D46" t="str">
        <x:v>Mass Market</x:v>
      </x:c>
      <x:c r="E46" s="13" t="n">
        <x:v>27041.29</x:v>
      </x:c>
      <x:c r="F46" t="n">
        <x:v>0</x:v>
      </x:c>
      <x:c r="G46" t="str">
        <x:v>L000108</x:v>
      </x:c>
      <x:c r="H46" s="13" t="n">
        <x:v>7158.99</x:v>
      </x:c>
      <x:c r="I46" s="14" t="n">
        <x:v>0.4458</x:v>
      </x:c>
      <x:c r="J46" t="n">
        <x:v>90</x:v>
      </x:c>
      <x:c r="K46" t="n">
        <x:v>2</x:v>
      </x:c>
      <x:c r="L46" s="14" t="n">
        <x:v>0.8917</x:v>
      </x:c>
      <x:c r="M46" s="15" t="n">
        <x:v>60.8</x:v>
      </x:c>
      <x:c r="N46" t="n">
        <x:v>42</x:v>
      </x:c>
      <x:c r="O46" t="str">
        <x:v>High</x:v>
      </x:c>
      <x:c r="P46" t="str">
        <x:f>XLOOKUP(O46,'Lookup &amp; Checks'!$A$2:$A$5,'Lookup &amp; Checks'!$B$2:$B$5,"Review")</x:f>
        <x:v>Proactive affordability contact</x:v>
      </x:c>
    </x:row>
    <x:row r="47">
      <x:c r="A47" t="str">
        <x:v>C000953</x:v>
      </x:c>
      <x:c r="B47" t="str">
        <x:v>Synthetic Customer 0953</x:v>
      </x:c>
      <x:c r="C47" t="str">
        <x:v>Connacht</x:v>
      </x:c>
      <x:c r="D47" t="str">
        <x:v>Mass Market</x:v>
      </x:c>
      <x:c r="E47" s="13" t="n">
        <x:v>35511.18</x:v>
      </x:c>
      <x:c r="F47" t="n">
        <x:v>0</x:v>
      </x:c>
      <x:c r="G47" t="str">
        <x:v>L000953</x:v>
      </x:c>
      <x:c r="H47" s="13" t="n">
        <x:v>7416.97</x:v>
      </x:c>
      <x:c r="I47" s="14" t="n">
        <x:v>0.2097</x:v>
      </x:c>
      <x:c r="J47" t="n">
        <x:v>300</x:v>
      </x:c>
      <x:c r="K47" t="n">
        <x:v>5</x:v>
      </x:c>
      <x:c r="L47" s="14" t="n">
        <x:v>0.9819</x:v>
      </x:c>
      <x:c r="M47" s="15" t="n">
        <x:v>60.7</x:v>
      </x:c>
      <x:c r="N47" t="n">
        <x:v>43</x:v>
      </x:c>
      <x:c r="O47" t="str">
        <x:v>High</x:v>
      </x:c>
      <x:c r="P47" t="str">
        <x:f>XLOOKUP(O47,'Lookup &amp; Checks'!$A$2:$A$5,'Lookup &amp; Checks'!$B$2:$B$5,"Review")</x:f>
        <x:v>Proactive affordability contact</x:v>
      </x:c>
    </x:row>
    <x:row r="48">
      <x:c r="A48" t="str">
        <x:v>C000838</x:v>
      </x:c>
      <x:c r="B48" t="str">
        <x:v>Synthetic Customer 0838</x:v>
      </x:c>
      <x:c r="C48" t="str">
        <x:v>Dublin</x:v>
      </x:c>
      <x:c r="D48" t="str">
        <x:v>Mass Market</x:v>
      </x:c>
      <x:c r="E48" s="13" t="n">
        <x:v>60096.75</x:v>
      </x:c>
      <x:c r="F48" t="n">
        <x:v>0</x:v>
      </x:c>
      <x:c r="G48" t="str">
        <x:v>L000838</x:v>
      </x:c>
      <x:c r="H48" s="13" t="n">
        <x:v>3861.86</x:v>
      </x:c>
      <x:c r="I48" s="14" t="n">
        <x:v>0.4156</x:v>
      </x:c>
      <x:c r="J48" t="n">
        <x:v>90</x:v>
      </x:c>
      <x:c r="K48" t="n">
        <x:v>2</x:v>
      </x:c>
      <x:c r="L48" s="14" t="n">
        <x:v>0.9521</x:v>
      </x:c>
      <x:c r="M48" s="15" t="n">
        <x:v>60.1</x:v>
      </x:c>
      <x:c r="N48" t="n">
        <x:v>44</x:v>
      </x:c>
      <x:c r="O48" t="str">
        <x:v>High</x:v>
      </x:c>
      <x:c r="P48" t="str">
        <x:f>XLOOKUP(O48,'Lookup &amp; Checks'!$A$2:$A$5,'Lookup &amp; Checks'!$B$2:$B$5,"Review")</x:f>
        <x:v>Proactive affordability contact</x:v>
      </x:c>
    </x:row>
    <x:row r="49">
      <x:c r="A49" t="str">
        <x:v>C000466</x:v>
      </x:c>
      <x:c r="B49" t="str">
        <x:v>Synthetic Customer 0466</x:v>
      </x:c>
      <x:c r="C49" t="str">
        <x:v>Dublin</x:v>
      </x:c>
      <x:c r="D49" t="str">
        <x:v>Mass Market</x:v>
      </x:c>
      <x:c r="E49" s="13" t="n">
        <x:v>56352.52</x:v>
      </x:c>
      <x:c r="F49" t="n">
        <x:v>1</x:v>
      </x:c>
      <x:c r="G49" t="str">
        <x:v>L000466</x:v>
      </x:c>
      <x:c r="H49" s="13" t="n">
        <x:v>32084.66</x:v>
      </x:c>
      <x:c r="I49" s="14" t="n">
        <x:v>0.7462</x:v>
      </x:c>
      <x:c r="J49" t="n">
        <x:v>0</x:v>
      </x:c>
      <x:c r="K49" t="n">
        <x:v>3</x:v>
      </x:c>
      <x:c r="L49" s="14" t="n">
        <x:v>0.9584</x:v>
      </x:c>
      <x:c r="M49" s="15" t="n">
        <x:v>58.6</x:v>
      </x:c>
      <x:c r="N49" t="n">
        <x:v>45</x:v>
      </x:c>
      <x:c r="O49" t="str">
        <x:v>Medium</x:v>
      </x:c>
      <x:c r="P49" t="str">
        <x:f>XLOOKUP(O49,'Lookup &amp; Checks'!$A$2:$A$5,'Lookup &amp; Checks'!$B$2:$B$5,"Review")</x:f>
        <x:v>Digital budgeting nudge</x:v>
      </x:c>
    </x:row>
    <x:row r="50">
      <x:c r="A50" t="str">
        <x:v>C000852</x:v>
      </x:c>
      <x:c r="B50" t="str">
        <x:v>Synthetic Customer 0852</x:v>
      </x:c>
      <x:c r="C50" t="str">
        <x:v>Connacht</x:v>
      </x:c>
      <x:c r="D50" t="str">
        <x:v>Mass Market</x:v>
      </x:c>
      <x:c r="E50" s="13" t="n">
        <x:v>22000</x:v>
      </x:c>
      <x:c r="F50" t="n">
        <x:v>0</x:v>
      </x:c>
      <x:c r="G50" t="str">
        <x:v>L000852</x:v>
      </x:c>
      <x:c r="H50" s="13" t="n">
        <x:v>3943.36</x:v>
      </x:c>
      <x:c r="I50" s="14" t="n">
        <x:v>0.3901</x:v>
      </x:c>
      <x:c r="J50" t="n">
        <x:v>90</x:v>
      </x:c>
      <x:c r="K50" t="n">
        <x:v>2</x:v>
      </x:c>
      <x:c r="L50" s="14" t="n">
        <x:v>0.88</x:v>
      </x:c>
      <x:c r="M50" s="15" t="n">
        <x:v>58.4</x:v>
      </x:c>
      <x:c r="N50" t="n">
        <x:v>46</x:v>
      </x:c>
      <x:c r="O50" t="str">
        <x:v>Medium</x:v>
      </x:c>
      <x:c r="P50" t="str">
        <x:f>XLOOKUP(O50,'Lookup &amp; Checks'!$A$2:$A$5,'Lookup &amp; Checks'!$B$2:$B$5,"Review")</x:f>
        <x:v>Digital budgeting nudge</x:v>
      </x:c>
    </x:row>
    <x:row r="51">
      <x:c r="A51" t="str">
        <x:v>C000301</x:v>
      </x:c>
      <x:c r="B51" t="str">
        <x:v>Synthetic Customer 0301</x:v>
      </x:c>
      <x:c r="C51" t="str">
        <x:v>Dublin</x:v>
      </x:c>
      <x:c r="D51" t="str">
        <x:v>Mass Market</x:v>
      </x:c>
      <x:c r="E51" s="13" t="n">
        <x:v>23126.4</x:v>
      </x:c>
      <x:c r="F51" t="n">
        <x:v>1</x:v>
      </x:c>
      <x:c r="G51" t="str">
        <x:v>L000301</x:v>
      </x:c>
      <x:c r="H51" s="13" t="n">
        <x:v>13851.24</x:v>
      </x:c>
      <x:c r="I51" s="14" t="n">
        <x:v>0.9161</x:v>
      </x:c>
      <x:c r="J51" t="n">
        <x:v>0</x:v>
      </x:c>
      <x:c r="K51" t="n">
        <x:v>1</x:v>
      </x:c>
      <x:c r="L51" s="14" t="n">
        <x:v>1.1077</x:v>
      </x:c>
      <x:c r="M51" s="15" t="n">
        <x:v>58</x:v>
      </x:c>
      <x:c r="N51" t="n">
        <x:v>47</x:v>
      </x:c>
      <x:c r="O51" t="str">
        <x:v>Medium</x:v>
      </x:c>
      <x:c r="P51" t="str">
        <x:f>XLOOKUP(O51,'Lookup &amp; Checks'!$A$2:$A$5,'Lookup &amp; Checks'!$B$2:$B$5,"Review")</x:f>
        <x:v>Digital budgeting nudge</x:v>
      </x:c>
    </x:row>
    <x:row r="52">
      <x:c r="A52" t="str">
        <x:v>C000923</x:v>
      </x:c>
      <x:c r="B52" t="str">
        <x:v>Synthetic Customer 0923</x:v>
      </x:c>
      <x:c r="C52" t="str">
        <x:v>Connacht</x:v>
      </x:c>
      <x:c r="D52" t="str">
        <x:v>Emerging Affluent</x:v>
      </x:c>
      <x:c r="E52" s="13" t="n">
        <x:v>22289.35</x:v>
      </x:c>
      <x:c r="F52" t="n">
        <x:v>0</x:v>
      </x:c>
      <x:c r="G52" t="str">
        <x:v>L000923</x:v>
      </x:c>
      <x:c r="H52" s="13" t="n">
        <x:v>28572.95</x:v>
      </x:c>
      <x:c r="I52" s="14" t="n">
        <x:v>0.5646</x:v>
      </x:c>
      <x:c r="J52" t="n">
        <x:v>60</x:v>
      </x:c>
      <x:c r="K52" t="n">
        <x:v>2</x:v>
      </x:c>
      <x:c r="L52" s="14" t="n">
        <x:v>0.9232</x:v>
      </x:c>
      <x:c r="M52" s="15" t="n">
        <x:v>57.8</x:v>
      </x:c>
      <x:c r="N52" t="n">
        <x:v>48</x:v>
      </x:c>
      <x:c r="O52" t="str">
        <x:v>Medium</x:v>
      </x:c>
      <x:c r="P52" t="str">
        <x:f>XLOOKUP(O52,'Lookup &amp; Checks'!$A$2:$A$5,'Lookup &amp; Checks'!$B$2:$B$5,"Review")</x:f>
        <x:v>Digital budgeting nudge</x:v>
      </x:c>
    </x:row>
    <x:row r="53">
      <x:c r="A53" t="str">
        <x:v>C000674</x:v>
      </x:c>
      <x:c r="B53" t="str">
        <x:v>Synthetic Customer 0674</x:v>
      </x:c>
      <x:c r="C53" t="str">
        <x:v>Dublin</x:v>
      </x:c>
      <x:c r="D53" t="str">
        <x:v>Emerging Affluent</x:v>
      </x:c>
      <x:c r="E53" s="13" t="n">
        <x:v>55565.6</x:v>
      </x:c>
      <x:c r="F53" t="n">
        <x:v>0</x:v>
      </x:c>
      <x:c r="G53" t="str">
        <x:v>L000674</x:v>
      </x:c>
      <x:c r="H53" s="13" t="n">
        <x:v>17031.63</x:v>
      </x:c>
      <x:c r="I53" s="14" t="n">
        <x:v>0.5434</x:v>
      </x:c>
      <x:c r="J53" t="n">
        <x:v>60</x:v>
      </x:c>
      <x:c r="K53" t="n">
        <x:v>2</x:v>
      </x:c>
      <x:c r="L53" s="14" t="n">
        <x:v>0.9947</x:v>
      </x:c>
      <x:c r="M53" s="15" t="n">
        <x:v>57.5</x:v>
      </x:c>
      <x:c r="N53" t="n">
        <x:v>49</x:v>
      </x:c>
      <x:c r="O53" t="str">
        <x:v>Medium</x:v>
      </x:c>
      <x:c r="P53" t="str">
        <x:f>XLOOKUP(O53,'Lookup &amp; Checks'!$A$2:$A$5,'Lookup &amp; Checks'!$B$2:$B$5,"Review")</x:f>
        <x:v>Digital budgeting nudge</x:v>
      </x:c>
    </x:row>
    <x:row r="54">
      <x:c r="A54" t="str">
        <x:v>C000716</x:v>
      </x:c>
      <x:c r="B54" t="str">
        <x:v>Synthetic Customer 0716</x:v>
      </x:c>
      <x:c r="C54" t="str">
        <x:v>Munster</x:v>
      </x:c>
      <x:c r="D54" t="str">
        <x:v>Mass Market</x:v>
      </x:c>
      <x:c r="E54" s="13" t="n">
        <x:v>37005.38</x:v>
      </x:c>
      <x:c r="F54" t="n">
        <x:v>0</x:v>
      </x:c>
      <x:c r="G54" t="str">
        <x:v>L000716</x:v>
      </x:c>
      <x:c r="H54" s="13" t="n">
        <x:v>6174.03</x:v>
      </x:c>
      <x:c r="I54" s="14" t="n">
        <x:v>0.7643</x:v>
      </x:c>
      <x:c r="J54" t="n">
        <x:v>30</x:v>
      </x:c>
      <x:c r="K54" t="n">
        <x:v>2</x:v>
      </x:c>
      <x:c r="L54" s="14" t="n">
        <x:v>0.8802</x:v>
      </x:c>
      <x:c r="M54" s="15" t="n">
        <x:v>57.4</x:v>
      </x:c>
      <x:c r="N54" t="n">
        <x:v>50</x:v>
      </x:c>
      <x:c r="O54" t="str">
        <x:v>Medium</x:v>
      </x:c>
      <x:c r="P54" t="str">
        <x:f>XLOOKUP(O54,'Lookup &amp; Checks'!$A$2:$A$5,'Lookup &amp; Checks'!$B$2:$B$5,"Review")</x:f>
        <x:v>Digital budgeting nudge</x:v>
      </x:c>
    </x:row>
  </x:sheetData>
  <x:mergeCells>
    <x:mergeCell ref="A1:P1"/>
    <x:mergeCell ref="A2:P2"/>
  </x:mergeCells>
  <x:conditionalFormatting sqref="M5:M54">
    <x:cfRule type="colorScale" priority="1">
      <x:colorScale>
        <x:cfvo type="min"/>
        <x:cfvo type="percentile" val="50"/>
        <x:cfvo type="max"/>
        <x:color rgb="FFD1FADF"/>
        <x:color rgb="FFFEF0C7"/>
        <x:color rgb="FFFEE4E2"/>
      </x:colorScale>
    </x:cfRule>
  </x:conditionalFormatting>
  <x:conditionalFormatting sqref="J5:J54">
    <x:cfRule type="cellIs" dxfId="1" priority="2" operator="greaterThanOrEqual">
      <x:formula>30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7ead76aa7149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Risk Band</x:v>
      </x:c>
      <x:c r="B1" s="4" t="str">
        <x:v>Recommended Action</x:v>
      </x:c>
      <x:c r="C1" s="4" t="str">
        <x:v>Sort</x:v>
      </x:c>
      <x:c r="D1" s="5"/>
      <x:c r="E1" s="4" t="str">
        <x:v>Check</x:v>
      </x:c>
      <x:c r="F1" s="4" t="str">
        <x:v>Actual</x:v>
      </x:c>
      <x:c r="G1" s="4" t="str">
        <x:v>Expected</x:v>
      </x:c>
      <x:c r="H1" s="4" t="str">
        <x:v>Difference</x:v>
      </x:c>
      <x:c r="I1" s="4" t="str">
        <x:v>Status</x:v>
      </x:c>
    </x:row>
    <x:row r="2">
      <x:c r="A2" s="6" t="str">
        <x:v>Low</x:v>
      </x:c>
      <x:c r="B2" s="5" t="str">
        <x:v>Maintain and monitor</x:v>
      </x:c>
      <x:c r="C2" s="5" t="n">
        <x:v>1</x:v>
      </x:c>
      <x:c r="D2" s="5"/>
      <x:c r="E2" s="5" t="str">
        <x:v>Top-risk rows</x:v>
      </x:c>
      <x:c r="F2" s="5" t="n">
        <x:f>COUNTA('Top 5% Risk Detail'!$A$5:$A$54)</x:f>
        <x:v>50</x:v>
      </x:c>
      <x:c r="G2" s="5" t="n">
        <x:v>50</x:v>
      </x:c>
      <x:c r="H2" s="5" t="n">
        <x:f>F2-G2</x:f>
        <x:v>0</x:v>
      </x:c>
      <x:c r="I2" s="5" t="str">
        <x:f>IF(H2=0,"OK","REVIEW")</x:f>
        <x:v>OK</x:v>
      </x:c>
    </x:row>
    <x:row r="3">
      <x:c r="A3" s="6" t="str">
        <x:v>Medium</x:v>
      </x:c>
      <x:c r="B3" s="5" t="str">
        <x:v>Digital budgeting nudge</x:v>
      </x:c>
      <x:c r="C3" s="5" t="n">
        <x:v>2</x:v>
      </x:c>
      <x:c r="D3" s="5"/>
      <x:c r="E3" s="5" t="str">
        <x:v>Unique customers</x:v>
      </x:c>
      <x:c r="F3" s="5" t="n">
        <x:f>COUNTA('Top 5% Risk Detail'!$A$5:$A$54)</x:f>
        <x:v>50</x:v>
      </x:c>
      <x:c r="G3" s="5" t="n">
        <x:v>50</x:v>
      </x:c>
      <x:c r="H3" s="5" t="n">
        <x:f>F3-G3</x:f>
        <x:v>0</x:v>
      </x:c>
      <x:c r="I3" s="5" t="str">
        <x:f>IF(H3=0,"OK","REVIEW")</x:f>
        <x:v>OK</x:v>
      </x:c>
    </x:row>
    <x:row r="4">
      <x:c r="A4" s="6" t="str">
        <x:v>High</x:v>
      </x:c>
      <x:c r="B4" s="5" t="str">
        <x:v>Proactive affordability contact</x:v>
      </x:c>
      <x:c r="C4" s="5" t="n">
        <x:v>3</x:v>
      </x:c>
      <x:c r="D4" s="5"/>
      <x:c r="E4" s="5" t="str">
        <x:v>Exposure tie-out</x:v>
      </x:c>
      <x:c r="F4" s="5" t="n">
        <x:f>SUM('Top 5% Risk Detail'!$H$5:$H$54)</x:f>
        <x:v>734668.66</x:v>
      </x:c>
      <x:c r="G4" s="5" t="n">
        <x:f>'Executive Brief'!$D$6</x:f>
        <x:v>734668.66</x:v>
      </x:c>
      <x:c r="H4" s="5" t="n">
        <x:f>F4-G4</x:f>
        <x:v>0</x:v>
      </x:c>
      <x:c r="I4" s="5" t="str">
        <x:f>IF(ABS(H4)&lt;0.01,"OK","REVIEW")</x:f>
        <x:v>OK</x:v>
      </x:c>
    </x:row>
    <x:row r="5">
      <x:c r="A5" s="6" t="str">
        <x:v>Critical</x:v>
      </x:c>
      <x:c r="B5" s="5" t="str">
        <x:v>Specialist support and arrears review</x:v>
      </x:c>
      <x:c r="C5" s="5" t="n">
        <x:v>4</x:v>
      </x:c>
      <x:c r="D5" s="5"/>
      <x:c r="E5" s="5" t="str">
        <x:v>Formula errors</x:v>
      </x:c>
      <x:c r="F5" s="5" t="str">
        <x:v>Scan at build</x:v>
      </x:c>
      <x:c r="G5" s="5" t="n">
        <x:v>0</x:v>
      </x:c>
      <x:c r="H5" s="5" t="n">
        <x:v>0</x:v>
      </x:c>
      <x:c r="I5" s="5" t="str">
        <x:v>OK</x:v>
      </x:c>
    </x:row>
    <x:row r="6">
      <x:c r="A6" s="5" t="str">
        <x:v>Source</x:v>
      </x:c>
      <x:c r="B6" s="5" t="str">
        <x:v>Synthetic portfolio demonstration</x:v>
      </x:c>
      <x:c r="C6" s="5"/>
      <x:c r="D6" s="5"/>
      <x:c r="E6" s="5"/>
      <x:c r="F6" s="5"/>
      <x:c r="G6" s="5"/>
      <x:c r="H6" s="5"/>
      <x:c r="I6" s="5"/>
    </x:row>
  </x:sheetData>
  <x:conditionalFormatting sqref="I2:I5">
    <x:cfRule type="containsText" dxfId="0" priority="1" operator="containsText" text="OK"/>
  </x:conditionalFormatting>
  <x:pageMargins left="0.7" right="0.7" top="0.75" bottom="0.75" header="0.3" footer="0.3"/>
</x:worksheet>
</file>